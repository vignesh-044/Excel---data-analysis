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main_downloads\"/>
    </mc:Choice>
  </mc:AlternateContent>
  <xr:revisionPtr revIDLastSave="0" documentId="13_ncr:1_{58DAAB7A-6AC3-41E7-AD87-4F531872E7AE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Business Questions" sheetId="4" r:id="rId1"/>
    <sheet name="NZ Data" sheetId="1" r:id="rId2"/>
    <sheet name="Sheet1" sheetId="8" r:id="rId3"/>
    <sheet name="India Staff" sheetId="2" r:id="rId4"/>
    <sheet name="Total staff" sheetId="3" r:id="rId5"/>
    <sheet name="Analysis" sheetId="5" r:id="rId6"/>
    <sheet name="Male vs Female Comparision" sheetId="6" r:id="rId7"/>
    <sheet name="data Visualization" sheetId="7" r:id="rId8"/>
  </sheets>
  <definedNames>
    <definedName name="_xlnm._FilterDatabase" localSheetId="7" hidden="1">'data Visualization'!$A$8:$J$191</definedName>
    <definedName name="_xlnm._FilterDatabase" localSheetId="3" hidden="1">'India Staff'!$B$2:$G$114</definedName>
    <definedName name="_xlnm._FilterDatabase" localSheetId="1" hidden="1">'NZ Data'!$C$5:$I$105</definedName>
    <definedName name="_xlnm._FilterDatabase" localSheetId="4" hidden="1">'Total staff'!$A$1:$J$184</definedName>
    <definedName name="Slicer_Country">#N/A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L191" i="7" l="1"/>
  <c r="K191" i="7"/>
  <c r="I191" i="7"/>
  <c r="J191" i="7" s="1"/>
  <c r="L190" i="7"/>
  <c r="K190" i="7"/>
  <c r="I190" i="7"/>
  <c r="J190" i="7" s="1"/>
  <c r="L189" i="7"/>
  <c r="K189" i="7"/>
  <c r="I189" i="7"/>
  <c r="J189" i="7" s="1"/>
  <c r="L188" i="7"/>
  <c r="K188" i="7"/>
  <c r="I188" i="7"/>
  <c r="J188" i="7" s="1"/>
  <c r="L187" i="7"/>
  <c r="K187" i="7"/>
  <c r="I187" i="7"/>
  <c r="J187" i="7" s="1"/>
  <c r="L186" i="7"/>
  <c r="K186" i="7"/>
  <c r="I186" i="7"/>
  <c r="J186" i="7" s="1"/>
  <c r="L185" i="7"/>
  <c r="K185" i="7"/>
  <c r="I185" i="7"/>
  <c r="J185" i="7" s="1"/>
  <c r="L184" i="7"/>
  <c r="K184" i="7"/>
  <c r="I184" i="7"/>
  <c r="J184" i="7" s="1"/>
  <c r="L183" i="7"/>
  <c r="K183" i="7"/>
  <c r="I183" i="7"/>
  <c r="J183" i="7" s="1"/>
  <c r="L182" i="7"/>
  <c r="K182" i="7"/>
  <c r="I182" i="7"/>
  <c r="J182" i="7" s="1"/>
  <c r="L181" i="7"/>
  <c r="K181" i="7"/>
  <c r="I181" i="7"/>
  <c r="J181" i="7" s="1"/>
  <c r="L180" i="7"/>
  <c r="K180" i="7"/>
  <c r="I180" i="7"/>
  <c r="J180" i="7" s="1"/>
  <c r="L179" i="7"/>
  <c r="K179" i="7"/>
  <c r="I179" i="7"/>
  <c r="J179" i="7" s="1"/>
  <c r="L178" i="7"/>
  <c r="K178" i="7"/>
  <c r="I178" i="7"/>
  <c r="J178" i="7" s="1"/>
  <c r="L177" i="7"/>
  <c r="K177" i="7"/>
  <c r="I177" i="7"/>
  <c r="J177" i="7" s="1"/>
  <c r="L176" i="7"/>
  <c r="K176" i="7"/>
  <c r="I176" i="7"/>
  <c r="J176" i="7" s="1"/>
  <c r="L175" i="7"/>
  <c r="K175" i="7"/>
  <c r="I175" i="7"/>
  <c r="J175" i="7" s="1"/>
  <c r="L174" i="7"/>
  <c r="K174" i="7"/>
  <c r="I174" i="7"/>
  <c r="J174" i="7" s="1"/>
  <c r="L173" i="7"/>
  <c r="K173" i="7"/>
  <c r="I173" i="7"/>
  <c r="J173" i="7" s="1"/>
  <c r="L172" i="7"/>
  <c r="K172" i="7"/>
  <c r="I172" i="7"/>
  <c r="J172" i="7" s="1"/>
  <c r="L171" i="7"/>
  <c r="K171" i="7"/>
  <c r="I171" i="7"/>
  <c r="J171" i="7" s="1"/>
  <c r="L170" i="7"/>
  <c r="K170" i="7"/>
  <c r="I170" i="7"/>
  <c r="J170" i="7" s="1"/>
  <c r="L169" i="7"/>
  <c r="K169" i="7"/>
  <c r="I169" i="7"/>
  <c r="J169" i="7" s="1"/>
  <c r="L168" i="7"/>
  <c r="K168" i="7"/>
  <c r="I168" i="7"/>
  <c r="J168" i="7" s="1"/>
  <c r="L167" i="7"/>
  <c r="K167" i="7"/>
  <c r="I167" i="7"/>
  <c r="J167" i="7" s="1"/>
  <c r="L166" i="7"/>
  <c r="K166" i="7"/>
  <c r="I166" i="7"/>
  <c r="J166" i="7" s="1"/>
  <c r="L165" i="7"/>
  <c r="K165" i="7"/>
  <c r="I165" i="7"/>
  <c r="J165" i="7" s="1"/>
  <c r="L164" i="7"/>
  <c r="K164" i="7"/>
  <c r="I164" i="7"/>
  <c r="J164" i="7" s="1"/>
  <c r="L163" i="7"/>
  <c r="K163" i="7"/>
  <c r="I163" i="7"/>
  <c r="J163" i="7" s="1"/>
  <c r="L162" i="7"/>
  <c r="K162" i="7"/>
  <c r="I162" i="7"/>
  <c r="J162" i="7" s="1"/>
  <c r="L161" i="7"/>
  <c r="K161" i="7"/>
  <c r="I161" i="7"/>
  <c r="J161" i="7" s="1"/>
  <c r="L160" i="7"/>
  <c r="K160" i="7"/>
  <c r="I160" i="7"/>
  <c r="J160" i="7" s="1"/>
  <c r="L159" i="7"/>
  <c r="K159" i="7"/>
  <c r="I159" i="7"/>
  <c r="J159" i="7" s="1"/>
  <c r="L158" i="7"/>
  <c r="K158" i="7"/>
  <c r="I158" i="7"/>
  <c r="J158" i="7" s="1"/>
  <c r="L157" i="7"/>
  <c r="K157" i="7"/>
  <c r="I157" i="7"/>
  <c r="J157" i="7" s="1"/>
  <c r="L156" i="7"/>
  <c r="K156" i="7"/>
  <c r="I156" i="7"/>
  <c r="J156" i="7" s="1"/>
  <c r="L155" i="7"/>
  <c r="K155" i="7"/>
  <c r="I155" i="7"/>
  <c r="J155" i="7" s="1"/>
  <c r="L154" i="7"/>
  <c r="K154" i="7"/>
  <c r="I154" i="7"/>
  <c r="J154" i="7" s="1"/>
  <c r="L153" i="7"/>
  <c r="K153" i="7"/>
  <c r="I153" i="7"/>
  <c r="J153" i="7" s="1"/>
  <c r="L152" i="7"/>
  <c r="K152" i="7"/>
  <c r="I152" i="7"/>
  <c r="J152" i="7" s="1"/>
  <c r="L151" i="7"/>
  <c r="K151" i="7"/>
  <c r="I151" i="7"/>
  <c r="J151" i="7" s="1"/>
  <c r="L150" i="7"/>
  <c r="K150" i="7"/>
  <c r="I150" i="7"/>
  <c r="J150" i="7" s="1"/>
  <c r="L149" i="7"/>
  <c r="K149" i="7"/>
  <c r="I149" i="7"/>
  <c r="J149" i="7" s="1"/>
  <c r="L148" i="7"/>
  <c r="K148" i="7"/>
  <c r="I148" i="7"/>
  <c r="J148" i="7" s="1"/>
  <c r="L147" i="7"/>
  <c r="K147" i="7"/>
  <c r="I147" i="7"/>
  <c r="J147" i="7" s="1"/>
  <c r="L146" i="7"/>
  <c r="K146" i="7"/>
  <c r="I146" i="7"/>
  <c r="J146" i="7" s="1"/>
  <c r="L145" i="7"/>
  <c r="K145" i="7"/>
  <c r="I145" i="7"/>
  <c r="J145" i="7" s="1"/>
  <c r="L144" i="7"/>
  <c r="K144" i="7"/>
  <c r="I144" i="7"/>
  <c r="J144" i="7" s="1"/>
  <c r="L143" i="7"/>
  <c r="K143" i="7"/>
  <c r="I143" i="7"/>
  <c r="J143" i="7" s="1"/>
  <c r="L142" i="7"/>
  <c r="K142" i="7"/>
  <c r="I142" i="7"/>
  <c r="J142" i="7" s="1"/>
  <c r="L141" i="7"/>
  <c r="K141" i="7"/>
  <c r="I141" i="7"/>
  <c r="J141" i="7" s="1"/>
  <c r="L140" i="7"/>
  <c r="K140" i="7"/>
  <c r="I140" i="7"/>
  <c r="J140" i="7" s="1"/>
  <c r="L139" i="7"/>
  <c r="K139" i="7"/>
  <c r="I139" i="7"/>
  <c r="J139" i="7" s="1"/>
  <c r="L138" i="7"/>
  <c r="K138" i="7"/>
  <c r="I138" i="7"/>
  <c r="J138" i="7" s="1"/>
  <c r="L137" i="7"/>
  <c r="K137" i="7"/>
  <c r="I137" i="7"/>
  <c r="J137" i="7" s="1"/>
  <c r="L136" i="7"/>
  <c r="K136" i="7"/>
  <c r="I136" i="7"/>
  <c r="J136" i="7" s="1"/>
  <c r="L135" i="7"/>
  <c r="K135" i="7"/>
  <c r="I135" i="7"/>
  <c r="J135" i="7" s="1"/>
  <c r="L134" i="7"/>
  <c r="K134" i="7"/>
  <c r="I134" i="7"/>
  <c r="J134" i="7" s="1"/>
  <c r="L133" i="7"/>
  <c r="K133" i="7"/>
  <c r="I133" i="7"/>
  <c r="J133" i="7" s="1"/>
  <c r="L132" i="7"/>
  <c r="K132" i="7"/>
  <c r="I132" i="7"/>
  <c r="J132" i="7" s="1"/>
  <c r="L131" i="7"/>
  <c r="K131" i="7"/>
  <c r="I131" i="7"/>
  <c r="J131" i="7" s="1"/>
  <c r="L130" i="7"/>
  <c r="K130" i="7"/>
  <c r="I130" i="7"/>
  <c r="J130" i="7" s="1"/>
  <c r="L129" i="7"/>
  <c r="K129" i="7"/>
  <c r="I129" i="7"/>
  <c r="J129" i="7" s="1"/>
  <c r="L128" i="7"/>
  <c r="K128" i="7"/>
  <c r="I128" i="7"/>
  <c r="J128" i="7" s="1"/>
  <c r="L127" i="7"/>
  <c r="K127" i="7"/>
  <c r="I127" i="7"/>
  <c r="J127" i="7" s="1"/>
  <c r="L126" i="7"/>
  <c r="K126" i="7"/>
  <c r="I126" i="7"/>
  <c r="J126" i="7" s="1"/>
  <c r="L125" i="7"/>
  <c r="K125" i="7"/>
  <c r="I125" i="7"/>
  <c r="J125" i="7" s="1"/>
  <c r="L124" i="7"/>
  <c r="K124" i="7"/>
  <c r="I124" i="7"/>
  <c r="J124" i="7" s="1"/>
  <c r="L123" i="7"/>
  <c r="K123" i="7"/>
  <c r="I123" i="7"/>
  <c r="J123" i="7" s="1"/>
  <c r="L122" i="7"/>
  <c r="K122" i="7"/>
  <c r="I122" i="7"/>
  <c r="J122" i="7" s="1"/>
  <c r="L121" i="7"/>
  <c r="K121" i="7"/>
  <c r="I121" i="7"/>
  <c r="J121" i="7" s="1"/>
  <c r="L120" i="7"/>
  <c r="K120" i="7"/>
  <c r="I120" i="7"/>
  <c r="J120" i="7" s="1"/>
  <c r="L119" i="7"/>
  <c r="K119" i="7"/>
  <c r="I119" i="7"/>
  <c r="J119" i="7" s="1"/>
  <c r="L118" i="7"/>
  <c r="K118" i="7"/>
  <c r="I118" i="7"/>
  <c r="J118" i="7" s="1"/>
  <c r="L117" i="7"/>
  <c r="K117" i="7"/>
  <c r="I117" i="7"/>
  <c r="J117" i="7" s="1"/>
  <c r="L116" i="7"/>
  <c r="K116" i="7"/>
  <c r="I116" i="7"/>
  <c r="J116" i="7" s="1"/>
  <c r="L115" i="7"/>
  <c r="K115" i="7"/>
  <c r="I115" i="7"/>
  <c r="J115" i="7" s="1"/>
  <c r="L114" i="7"/>
  <c r="K114" i="7"/>
  <c r="I114" i="7"/>
  <c r="J114" i="7" s="1"/>
  <c r="L113" i="7"/>
  <c r="K113" i="7"/>
  <c r="I113" i="7"/>
  <c r="J113" i="7" s="1"/>
  <c r="L112" i="7"/>
  <c r="K112" i="7"/>
  <c r="I112" i="7"/>
  <c r="J112" i="7" s="1"/>
  <c r="L111" i="7"/>
  <c r="K111" i="7"/>
  <c r="I111" i="7"/>
  <c r="J111" i="7" s="1"/>
  <c r="L110" i="7"/>
  <c r="K110" i="7"/>
  <c r="I110" i="7"/>
  <c r="J110" i="7" s="1"/>
  <c r="L109" i="7"/>
  <c r="K109" i="7"/>
  <c r="I109" i="7"/>
  <c r="J109" i="7" s="1"/>
  <c r="L108" i="7"/>
  <c r="K108" i="7"/>
  <c r="I108" i="7"/>
  <c r="J108" i="7" s="1"/>
  <c r="L107" i="7"/>
  <c r="K107" i="7"/>
  <c r="I107" i="7"/>
  <c r="J107" i="7" s="1"/>
  <c r="L106" i="7"/>
  <c r="K106" i="7"/>
  <c r="I106" i="7"/>
  <c r="J106" i="7" s="1"/>
  <c r="L105" i="7"/>
  <c r="K105" i="7"/>
  <c r="I105" i="7"/>
  <c r="J105" i="7" s="1"/>
  <c r="L104" i="7"/>
  <c r="K104" i="7"/>
  <c r="I104" i="7"/>
  <c r="J104" i="7" s="1"/>
  <c r="L103" i="7"/>
  <c r="K103" i="7"/>
  <c r="I103" i="7"/>
  <c r="J103" i="7" s="1"/>
  <c r="L102" i="7"/>
  <c r="K102" i="7"/>
  <c r="I102" i="7"/>
  <c r="J102" i="7" s="1"/>
  <c r="L101" i="7"/>
  <c r="K101" i="7"/>
  <c r="I101" i="7"/>
  <c r="J101" i="7" s="1"/>
  <c r="L100" i="7"/>
  <c r="K100" i="7"/>
  <c r="I100" i="7"/>
  <c r="J100" i="7" s="1"/>
  <c r="L99" i="7"/>
  <c r="K99" i="7"/>
  <c r="I99" i="7"/>
  <c r="J99" i="7" s="1"/>
  <c r="L98" i="7"/>
  <c r="K98" i="7"/>
  <c r="I98" i="7"/>
  <c r="J98" i="7" s="1"/>
  <c r="L97" i="7"/>
  <c r="K97" i="7"/>
  <c r="I97" i="7"/>
  <c r="J97" i="7" s="1"/>
  <c r="AB96" i="7"/>
  <c r="Z96" i="7"/>
  <c r="X96" i="7"/>
  <c r="V96" i="7"/>
  <c r="T96" i="7"/>
  <c r="R96" i="7"/>
  <c r="L96" i="7"/>
  <c r="K96" i="7"/>
  <c r="I96" i="7"/>
  <c r="J96" i="7" s="1"/>
  <c r="L95" i="7"/>
  <c r="K95" i="7"/>
  <c r="I95" i="7"/>
  <c r="J95" i="7" s="1"/>
  <c r="L94" i="7"/>
  <c r="K94" i="7"/>
  <c r="I94" i="7"/>
  <c r="J94" i="7" s="1"/>
  <c r="L93" i="7"/>
  <c r="K93" i="7"/>
  <c r="I93" i="7"/>
  <c r="J93" i="7" s="1"/>
  <c r="L92" i="7"/>
  <c r="K92" i="7"/>
  <c r="I92" i="7"/>
  <c r="J92" i="7" s="1"/>
  <c r="L91" i="7"/>
  <c r="K91" i="7"/>
  <c r="I91" i="7"/>
  <c r="J91" i="7" s="1"/>
  <c r="L90" i="7"/>
  <c r="K90" i="7"/>
  <c r="I90" i="7"/>
  <c r="J90" i="7" s="1"/>
  <c r="L89" i="7"/>
  <c r="K89" i="7"/>
  <c r="I89" i="7"/>
  <c r="J89" i="7" s="1"/>
  <c r="L88" i="7"/>
  <c r="K88" i="7"/>
  <c r="I88" i="7"/>
  <c r="J88" i="7" s="1"/>
  <c r="L87" i="7"/>
  <c r="K87" i="7"/>
  <c r="I87" i="7"/>
  <c r="J87" i="7" s="1"/>
  <c r="L86" i="7"/>
  <c r="K86" i="7"/>
  <c r="I86" i="7"/>
  <c r="J86" i="7" s="1"/>
  <c r="L85" i="7"/>
  <c r="K85" i="7"/>
  <c r="I85" i="7"/>
  <c r="J85" i="7" s="1"/>
  <c r="L84" i="7"/>
  <c r="K84" i="7"/>
  <c r="I84" i="7"/>
  <c r="J84" i="7" s="1"/>
  <c r="L83" i="7"/>
  <c r="K83" i="7"/>
  <c r="I83" i="7"/>
  <c r="J83" i="7" s="1"/>
  <c r="L82" i="7"/>
  <c r="K82" i="7"/>
  <c r="I82" i="7"/>
  <c r="J82" i="7" s="1"/>
  <c r="L81" i="7"/>
  <c r="K81" i="7"/>
  <c r="I81" i="7"/>
  <c r="J81" i="7" s="1"/>
  <c r="L80" i="7"/>
  <c r="K80" i="7"/>
  <c r="I80" i="7"/>
  <c r="J80" i="7" s="1"/>
  <c r="L79" i="7"/>
  <c r="K79" i="7"/>
  <c r="I79" i="7"/>
  <c r="J79" i="7" s="1"/>
  <c r="L78" i="7"/>
  <c r="K78" i="7"/>
  <c r="I78" i="7"/>
  <c r="J78" i="7" s="1"/>
  <c r="L77" i="7"/>
  <c r="K77" i="7"/>
  <c r="I77" i="7"/>
  <c r="J77" i="7" s="1"/>
  <c r="L76" i="7"/>
  <c r="K76" i="7"/>
  <c r="I76" i="7"/>
  <c r="J76" i="7" s="1"/>
  <c r="L75" i="7"/>
  <c r="K75" i="7"/>
  <c r="I75" i="7"/>
  <c r="J75" i="7" s="1"/>
  <c r="L74" i="7"/>
  <c r="K74" i="7"/>
  <c r="I74" i="7"/>
  <c r="J74" i="7" s="1"/>
  <c r="L73" i="7"/>
  <c r="K73" i="7"/>
  <c r="I73" i="7"/>
  <c r="J73" i="7" s="1"/>
  <c r="L72" i="7"/>
  <c r="K72" i="7"/>
  <c r="I72" i="7"/>
  <c r="J72" i="7" s="1"/>
  <c r="L71" i="7"/>
  <c r="K71" i="7"/>
  <c r="I71" i="7"/>
  <c r="J71" i="7" s="1"/>
  <c r="L70" i="7"/>
  <c r="K70" i="7"/>
  <c r="I70" i="7"/>
  <c r="J70" i="7" s="1"/>
  <c r="L69" i="7"/>
  <c r="K69" i="7"/>
  <c r="I69" i="7"/>
  <c r="J69" i="7" s="1"/>
  <c r="L68" i="7"/>
  <c r="K68" i="7"/>
  <c r="I68" i="7"/>
  <c r="J68" i="7" s="1"/>
  <c r="L67" i="7"/>
  <c r="K67" i="7"/>
  <c r="I67" i="7"/>
  <c r="J67" i="7" s="1"/>
  <c r="L66" i="7"/>
  <c r="K66" i="7"/>
  <c r="I66" i="7"/>
  <c r="J66" i="7" s="1"/>
  <c r="L65" i="7"/>
  <c r="K65" i="7"/>
  <c r="I65" i="7"/>
  <c r="J65" i="7" s="1"/>
  <c r="L64" i="7"/>
  <c r="K64" i="7"/>
  <c r="I64" i="7"/>
  <c r="J64" i="7" s="1"/>
  <c r="L63" i="7"/>
  <c r="K63" i="7"/>
  <c r="I63" i="7"/>
  <c r="J63" i="7" s="1"/>
  <c r="L62" i="7"/>
  <c r="K62" i="7"/>
  <c r="I62" i="7"/>
  <c r="J62" i="7" s="1"/>
  <c r="L61" i="7"/>
  <c r="K61" i="7"/>
  <c r="I61" i="7"/>
  <c r="J61" i="7" s="1"/>
  <c r="L60" i="7"/>
  <c r="K60" i="7"/>
  <c r="I60" i="7"/>
  <c r="J60" i="7" s="1"/>
  <c r="L59" i="7"/>
  <c r="K59" i="7"/>
  <c r="I59" i="7"/>
  <c r="J59" i="7" s="1"/>
  <c r="L58" i="7"/>
  <c r="K58" i="7"/>
  <c r="I58" i="7"/>
  <c r="J58" i="7" s="1"/>
  <c r="L57" i="7"/>
  <c r="K57" i="7"/>
  <c r="I57" i="7"/>
  <c r="J57" i="7" s="1"/>
  <c r="L56" i="7"/>
  <c r="K56" i="7"/>
  <c r="I56" i="7"/>
  <c r="J56" i="7" s="1"/>
  <c r="L55" i="7"/>
  <c r="K55" i="7"/>
  <c r="I55" i="7"/>
  <c r="J55" i="7" s="1"/>
  <c r="L54" i="7"/>
  <c r="K54" i="7"/>
  <c r="I54" i="7"/>
  <c r="J54" i="7" s="1"/>
  <c r="L53" i="7"/>
  <c r="K53" i="7"/>
  <c r="I53" i="7"/>
  <c r="J53" i="7" s="1"/>
  <c r="L52" i="7"/>
  <c r="K52" i="7"/>
  <c r="I52" i="7"/>
  <c r="J52" i="7" s="1"/>
  <c r="L51" i="7"/>
  <c r="K51" i="7"/>
  <c r="I51" i="7"/>
  <c r="J51" i="7" s="1"/>
  <c r="L50" i="7"/>
  <c r="K50" i="7"/>
  <c r="I50" i="7"/>
  <c r="J50" i="7" s="1"/>
  <c r="L49" i="7"/>
  <c r="K49" i="7"/>
  <c r="I49" i="7"/>
  <c r="J49" i="7" s="1"/>
  <c r="L48" i="7"/>
  <c r="K48" i="7"/>
  <c r="I48" i="7"/>
  <c r="J48" i="7" s="1"/>
  <c r="L47" i="7"/>
  <c r="K47" i="7"/>
  <c r="I47" i="7"/>
  <c r="J47" i="7" s="1"/>
  <c r="L46" i="7"/>
  <c r="K46" i="7"/>
  <c r="I46" i="7"/>
  <c r="J46" i="7" s="1"/>
  <c r="L45" i="7"/>
  <c r="K45" i="7"/>
  <c r="I45" i="7"/>
  <c r="J45" i="7" s="1"/>
  <c r="L44" i="7"/>
  <c r="K44" i="7"/>
  <c r="I44" i="7"/>
  <c r="J44" i="7" s="1"/>
  <c r="L43" i="7"/>
  <c r="K43" i="7"/>
  <c r="I43" i="7"/>
  <c r="J43" i="7" s="1"/>
  <c r="L42" i="7"/>
  <c r="K42" i="7"/>
  <c r="I42" i="7"/>
  <c r="J42" i="7" s="1"/>
  <c r="L41" i="7"/>
  <c r="K41" i="7"/>
  <c r="I41" i="7"/>
  <c r="J41" i="7" s="1"/>
  <c r="L40" i="7"/>
  <c r="K40" i="7"/>
  <c r="I40" i="7"/>
  <c r="J40" i="7" s="1"/>
  <c r="L39" i="7"/>
  <c r="K39" i="7"/>
  <c r="I39" i="7"/>
  <c r="J39" i="7" s="1"/>
  <c r="L38" i="7"/>
  <c r="K38" i="7"/>
  <c r="I38" i="7"/>
  <c r="J38" i="7" s="1"/>
  <c r="L37" i="7"/>
  <c r="K37" i="7"/>
  <c r="I37" i="7"/>
  <c r="J37" i="7" s="1"/>
  <c r="L36" i="7"/>
  <c r="K36" i="7"/>
  <c r="I36" i="7"/>
  <c r="J36" i="7" s="1"/>
  <c r="L35" i="7"/>
  <c r="K35" i="7"/>
  <c r="I35" i="7"/>
  <c r="J35" i="7" s="1"/>
  <c r="L34" i="7"/>
  <c r="K34" i="7"/>
  <c r="I34" i="7"/>
  <c r="J34" i="7" s="1"/>
  <c r="L33" i="7"/>
  <c r="K33" i="7"/>
  <c r="I33" i="7"/>
  <c r="J33" i="7" s="1"/>
  <c r="L32" i="7"/>
  <c r="K32" i="7"/>
  <c r="I32" i="7"/>
  <c r="J32" i="7" s="1"/>
  <c r="L31" i="7"/>
  <c r="K31" i="7"/>
  <c r="I31" i="7"/>
  <c r="J31" i="7" s="1"/>
  <c r="L30" i="7"/>
  <c r="K30" i="7"/>
  <c r="I30" i="7"/>
  <c r="J30" i="7" s="1"/>
  <c r="L29" i="7"/>
  <c r="K29" i="7"/>
  <c r="I29" i="7"/>
  <c r="J29" i="7" s="1"/>
  <c r="L28" i="7"/>
  <c r="K28" i="7"/>
  <c r="I28" i="7"/>
  <c r="J28" i="7" s="1"/>
  <c r="L27" i="7"/>
  <c r="K27" i="7"/>
  <c r="I27" i="7"/>
  <c r="J27" i="7" s="1"/>
  <c r="L26" i="7"/>
  <c r="K26" i="7"/>
  <c r="I26" i="7"/>
  <c r="J26" i="7" s="1"/>
  <c r="L25" i="7"/>
  <c r="K25" i="7"/>
  <c r="I25" i="7"/>
  <c r="J25" i="7" s="1"/>
  <c r="L24" i="7"/>
  <c r="K24" i="7"/>
  <c r="I24" i="7"/>
  <c r="J24" i="7" s="1"/>
  <c r="L23" i="7"/>
  <c r="K23" i="7"/>
  <c r="I23" i="7"/>
  <c r="J23" i="7" s="1"/>
  <c r="L22" i="7"/>
  <c r="K22" i="7"/>
  <c r="I22" i="7"/>
  <c r="J22" i="7" s="1"/>
  <c r="L21" i="7"/>
  <c r="K21" i="7"/>
  <c r="I21" i="7"/>
  <c r="J21" i="7" s="1"/>
  <c r="L20" i="7"/>
  <c r="K20" i="7"/>
  <c r="I20" i="7"/>
  <c r="J20" i="7" s="1"/>
  <c r="L19" i="7"/>
  <c r="K19" i="7"/>
  <c r="I19" i="7"/>
  <c r="J19" i="7" s="1"/>
  <c r="L18" i="7"/>
  <c r="K18" i="7"/>
  <c r="I18" i="7"/>
  <c r="J18" i="7" s="1"/>
  <c r="L17" i="7"/>
  <c r="K17" i="7"/>
  <c r="I17" i="7"/>
  <c r="J17" i="7" s="1"/>
  <c r="L16" i="7"/>
  <c r="K16" i="7"/>
  <c r="I16" i="7"/>
  <c r="J16" i="7" s="1"/>
  <c r="L15" i="7"/>
  <c r="K15" i="7"/>
  <c r="I15" i="7"/>
  <c r="J15" i="7" s="1"/>
  <c r="L14" i="7"/>
  <c r="K14" i="7"/>
  <c r="I14" i="7"/>
  <c r="J14" i="7" s="1"/>
  <c r="L13" i="7"/>
  <c r="K13" i="7"/>
  <c r="I13" i="7"/>
  <c r="J13" i="7" s="1"/>
  <c r="L12" i="7"/>
  <c r="K12" i="7"/>
  <c r="I12" i="7"/>
  <c r="J12" i="7" s="1"/>
  <c r="L11" i="7"/>
  <c r="K11" i="7"/>
  <c r="I11" i="7"/>
  <c r="J11" i="7" s="1"/>
  <c r="L10" i="7"/>
  <c r="K10" i="7"/>
  <c r="I10" i="7"/>
  <c r="J10" i="7" s="1"/>
  <c r="L9" i="7"/>
  <c r="K9" i="7"/>
  <c r="I9" i="7"/>
  <c r="J9" i="7" s="1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 a="1"/>
  <c r="A28" i="5"/>
  <c r="B26" i="5"/>
  <c r="B19" i="5"/>
  <c r="I16" i="5"/>
  <c r="H16" i="5"/>
  <c r="G16" i="5"/>
  <c r="F16" i="5"/>
  <c r="E16" i="5"/>
  <c r="D16" i="5"/>
  <c r="C16" i="5"/>
  <c r="B16" i="5" a="1"/>
  <c r="B16" i="5"/>
  <c r="B10" i="5"/>
  <c r="B9" i="5"/>
  <c r="B8" i="5"/>
  <c r="B7" i="5"/>
  <c r="B6" i="5"/>
  <c r="B4" i="5" a="1"/>
  <c r="B4" i="5"/>
  <c r="B3" i="5" a="1"/>
  <c r="B3" i="5"/>
  <c r="B2" i="5"/>
  <c r="I184" i="3"/>
  <c r="J184" i="3" s="1"/>
  <c r="I183" i="3"/>
  <c r="J183" i="3" s="1"/>
  <c r="I182" i="3"/>
  <c r="J182" i="3" s="1"/>
  <c r="I181" i="3"/>
  <c r="J181" i="3" s="1"/>
  <c r="I180" i="3"/>
  <c r="J180" i="3" s="1"/>
  <c r="I179" i="3"/>
  <c r="J179" i="3" s="1"/>
  <c r="I178" i="3"/>
  <c r="J178" i="3" s="1"/>
  <c r="I177" i="3"/>
  <c r="J177" i="3" s="1"/>
  <c r="I176" i="3"/>
  <c r="J176" i="3" s="1"/>
  <c r="I175" i="3"/>
  <c r="J175" i="3" s="1"/>
  <c r="I174" i="3"/>
  <c r="J174" i="3" s="1"/>
  <c r="I173" i="3"/>
  <c r="J173" i="3" s="1"/>
  <c r="I172" i="3"/>
  <c r="J172" i="3" s="1"/>
  <c r="I171" i="3"/>
  <c r="J171" i="3" s="1"/>
  <c r="I170" i="3"/>
  <c r="J170" i="3" s="1"/>
  <c r="I169" i="3"/>
  <c r="J169" i="3" s="1"/>
  <c r="I168" i="3"/>
  <c r="J168" i="3" s="1"/>
  <c r="I167" i="3"/>
  <c r="J167" i="3" s="1"/>
  <c r="I166" i="3"/>
  <c r="J166" i="3" s="1"/>
  <c r="I165" i="3"/>
  <c r="J165" i="3" s="1"/>
  <c r="I164" i="3"/>
  <c r="J164" i="3" s="1"/>
  <c r="I163" i="3"/>
  <c r="J163" i="3" s="1"/>
  <c r="I162" i="3"/>
  <c r="J162" i="3" s="1"/>
  <c r="I161" i="3"/>
  <c r="J161" i="3" s="1"/>
  <c r="I160" i="3"/>
  <c r="J160" i="3" s="1"/>
  <c r="I159" i="3"/>
  <c r="J159" i="3" s="1"/>
  <c r="I158" i="3"/>
  <c r="J158" i="3" s="1"/>
  <c r="I157" i="3"/>
  <c r="J157" i="3" s="1"/>
  <c r="I156" i="3"/>
  <c r="J156" i="3" s="1"/>
  <c r="I155" i="3"/>
  <c r="J155" i="3" s="1"/>
  <c r="I154" i="3"/>
  <c r="J154" i="3" s="1"/>
  <c r="I153" i="3"/>
  <c r="J153" i="3" s="1"/>
  <c r="I152" i="3"/>
  <c r="J152" i="3" s="1"/>
  <c r="I151" i="3"/>
  <c r="J151" i="3" s="1"/>
  <c r="I150" i="3"/>
  <c r="J150" i="3" s="1"/>
  <c r="I149" i="3"/>
  <c r="J149" i="3" s="1"/>
  <c r="I148" i="3"/>
  <c r="J148" i="3" s="1"/>
  <c r="I147" i="3"/>
  <c r="J147" i="3" s="1"/>
  <c r="I146" i="3"/>
  <c r="J146" i="3" s="1"/>
  <c r="I145" i="3"/>
  <c r="J145" i="3" s="1"/>
  <c r="I144" i="3"/>
  <c r="J144" i="3" s="1"/>
  <c r="I143" i="3"/>
  <c r="J143" i="3" s="1"/>
  <c r="I142" i="3"/>
  <c r="J142" i="3" s="1"/>
  <c r="I141" i="3"/>
  <c r="J141" i="3" s="1"/>
  <c r="I140" i="3"/>
  <c r="J140" i="3" s="1"/>
  <c r="I139" i="3"/>
  <c r="J139" i="3" s="1"/>
  <c r="I138" i="3"/>
  <c r="J138" i="3" s="1"/>
  <c r="I137" i="3"/>
  <c r="J137" i="3" s="1"/>
  <c r="I136" i="3"/>
  <c r="J136" i="3" s="1"/>
  <c r="I135" i="3"/>
  <c r="J135" i="3" s="1"/>
  <c r="I134" i="3"/>
  <c r="J134" i="3" s="1"/>
  <c r="I133" i="3"/>
  <c r="J133" i="3" s="1"/>
  <c r="I132" i="3"/>
  <c r="J132" i="3" s="1"/>
  <c r="I131" i="3"/>
  <c r="J131" i="3" s="1"/>
  <c r="I130" i="3"/>
  <c r="J130" i="3" s="1"/>
  <c r="I129" i="3"/>
  <c r="J129" i="3" s="1"/>
  <c r="I128" i="3"/>
  <c r="J128" i="3" s="1"/>
  <c r="I127" i="3"/>
  <c r="J127" i="3" s="1"/>
  <c r="I126" i="3"/>
  <c r="J126" i="3" s="1"/>
  <c r="I125" i="3"/>
  <c r="J125" i="3" s="1"/>
  <c r="I124" i="3"/>
  <c r="J124" i="3" s="1"/>
  <c r="I123" i="3"/>
  <c r="J123" i="3" s="1"/>
  <c r="I122" i="3"/>
  <c r="J122" i="3" s="1"/>
  <c r="I121" i="3"/>
  <c r="J121" i="3" s="1"/>
  <c r="I120" i="3"/>
  <c r="J120" i="3" s="1"/>
  <c r="I119" i="3"/>
  <c r="J119" i="3" s="1"/>
  <c r="I118" i="3"/>
  <c r="J118" i="3" s="1"/>
  <c r="I117" i="3"/>
  <c r="J117" i="3" s="1"/>
  <c r="I116" i="3"/>
  <c r="J116" i="3" s="1"/>
  <c r="I115" i="3"/>
  <c r="J115" i="3" s="1"/>
  <c r="I114" i="3"/>
  <c r="J114" i="3" s="1"/>
  <c r="I113" i="3"/>
  <c r="J113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J98" i="3" s="1"/>
  <c r="I97" i="3"/>
  <c r="J97" i="3" s="1"/>
  <c r="I96" i="3"/>
  <c r="J96" i="3" s="1"/>
  <c r="I95" i="3"/>
  <c r="J95" i="3" s="1"/>
  <c r="I94" i="3"/>
  <c r="J94" i="3" s="1"/>
  <c r="I93" i="3"/>
  <c r="J93" i="3" s="1"/>
  <c r="I92" i="3"/>
  <c r="J92" i="3" s="1"/>
  <c r="I91" i="3"/>
  <c r="J91" i="3" s="1"/>
  <c r="I90" i="3"/>
  <c r="J90" i="3" s="1"/>
  <c r="I89" i="3"/>
  <c r="J89" i="3" s="1"/>
  <c r="I88" i="3"/>
  <c r="J88" i="3" s="1"/>
  <c r="I87" i="3"/>
  <c r="J87" i="3" s="1"/>
  <c r="I86" i="3"/>
  <c r="J86" i="3" s="1"/>
  <c r="I85" i="3"/>
  <c r="J85" i="3" s="1"/>
  <c r="I84" i="3"/>
  <c r="J84" i="3" s="1"/>
  <c r="I83" i="3"/>
  <c r="J83" i="3" s="1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J50" i="3"/>
  <c r="I50" i="3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B5" i="5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<sst xmlns="http://schemas.openxmlformats.org/spreadsheetml/2006/main" count="3015" uniqueCount="247">
  <si>
    <t>A Quick Analysis of the data</t>
  </si>
  <si>
    <t>Information Finder</t>
  </si>
  <si>
    <t>Extend Information finder</t>
  </si>
  <si>
    <t>Male vs Female Comparision</t>
  </si>
  <si>
    <t>Calculate Annual bonus</t>
  </si>
  <si>
    <t>Employee Data</t>
  </si>
  <si>
    <t>Name</t>
  </si>
  <si>
    <t>Gender</t>
  </si>
  <si>
    <t>Department</t>
  </si>
  <si>
    <t>Age</t>
  </si>
  <si>
    <t>Date Joined</t>
  </si>
  <si>
    <t>Salary</t>
  </si>
  <si>
    <t>Rating</t>
  </si>
  <si>
    <t>Country</t>
  </si>
  <si>
    <t>Lindy Guillet</t>
  </si>
  <si>
    <t>Male</t>
  </si>
  <si>
    <t>Sales</t>
  </si>
  <si>
    <t>Above average</t>
  </si>
  <si>
    <t>NZ</t>
  </si>
  <si>
    <t>Ambros Murthwaite</t>
  </si>
  <si>
    <t>Procurement</t>
  </si>
  <si>
    <t>Average</t>
  </si>
  <si>
    <t>Tatum Hush</t>
  </si>
  <si>
    <t>Female</t>
  </si>
  <si>
    <t>Benny Karolovsky</t>
  </si>
  <si>
    <t>Finance</t>
  </si>
  <si>
    <t>Poor</t>
  </si>
  <si>
    <t>Hoyt D'Alesco</t>
  </si>
  <si>
    <t>Halimeda Kuscha</t>
  </si>
  <si>
    <t>Erin Androsik</t>
  </si>
  <si>
    <t>Vic Radolf</t>
  </si>
  <si>
    <t>Website</t>
  </si>
  <si>
    <t>William Reeveley</t>
  </si>
  <si>
    <t>Ewart Laphorn</t>
  </si>
  <si>
    <t>HR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</si>
  <si>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</si>
  <si>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</si>
  <si>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</si>
  <si>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</si>
  <si>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</si>
  <si>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</si>
  <si>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</si>
  <si>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</si>
  <si>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</si>
  <si>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</si>
  <si>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</si>
  <si>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</si>
  <si>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</si>
  <si>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</si>
  <si>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Curtice Advani</t>
  </si>
  <si>
    <t>Barr Faughny</t>
  </si>
  <si>
    <t>Exceptional</t>
  </si>
  <si>
    <t>Merrilee Plenty</t>
  </si>
  <si>
    <t>Niall Selesnick</t>
  </si>
  <si>
    <t>Beverie Moffet</t>
  </si>
  <si>
    <t>Jehu Rudeforth</t>
  </si>
  <si>
    <t>Camilla Castle</t>
  </si>
  <si>
    <t>Very poor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</si>
  <si>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</si>
  <si>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</si>
  <si>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</si>
  <si>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</si>
  <si>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</si>
  <si>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</si>
  <si>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</si>
  <si>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</si>
  <si>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</si>
  <si>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</si>
  <si>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</si>
  <si>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</si>
  <si>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</si>
  <si>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</si>
  <si>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</si>
  <si>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</si>
  <si>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Van Tuxwell</t>
  </si>
  <si>
    <t>Lilyan Klimpt</t>
  </si>
  <si>
    <t>Tawnya Tickel</t>
  </si>
  <si>
    <t>Jan Morforth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</si>
  <si>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</si>
  <si>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</si>
  <si>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</si>
  <si>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</si>
  <si>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</si>
  <si>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</si>
  <si>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</si>
  <si>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</si>
  <si>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</si>
  <si>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</si>
  <si>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Madge McCloughen</t>
  </si>
  <si>
    <t>Janene Hairsine</t>
  </si>
  <si>
    <t>Alta Kaszper</t>
  </si>
  <si>
    <t>Dennison Crosswaite</t>
  </si>
  <si>
    <t>Oran Buxcy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</si>
  <si>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</si>
  <si>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</si>
  <si>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</si>
  <si>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</si>
  <si>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</si>
  <si>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</si>
  <si>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</si>
  <si>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</si>
  <si>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</si>
  <si>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</si>
  <si>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</si>
  <si>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</si>
  <si>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</si>
  <si>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</si>
  <si>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</si>
  <si>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</si>
  <si>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</si>
  <si>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</si>
  <si>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</si>
  <si>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</si>
  <si>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</si>
  <si>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</si>
  <si>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Ebonee Roxburgh</t>
  </si>
  <si>
    <t>Shayne Stegel</t>
  </si>
  <si>
    <t>Zach Polon</t>
  </si>
  <si>
    <t>Deepali Charan</t>
  </si>
  <si>
    <t>IND</t>
  </si>
  <si>
    <t>Yagna Sujeev</t>
  </si>
  <si>
    <t>Satyendra Venkatadri</t>
  </si>
  <si>
    <t>Madhavdas Buhpathi</t>
  </si>
  <si>
    <t>Sahila Chandrasekhar</t>
  </si>
  <si>
    <t>Mirium Seemantini Shivakumar</t>
  </si>
  <si>
    <t>Purnendu Vijayarangan</t>
  </si>
  <si>
    <t>Rukma Vinita</t>
  </si>
  <si>
    <t>Yauvani Tarpa</t>
  </si>
  <si>
    <t>Damayanti Thangavadivelu</t>
  </si>
  <si>
    <t>Manjusri Ruchi</t>
  </si>
  <si>
    <t>Mithil Nadkarni</t>
  </si>
  <si>
    <t>Ardhendu Abhichandra Jayakar</t>
  </si>
  <si>
    <t>Akbar Sorabhjee</t>
  </si>
  <si>
    <t>Bandhula Sathyanna</t>
  </si>
  <si>
    <t>Daruka Ghazali</t>
  </si>
  <si>
    <t>Heer Pennathur</t>
  </si>
  <si>
    <t>Shekhar Eswara</t>
  </si>
  <si>
    <t>Udyan Lanka</t>
  </si>
  <si>
    <t>Shreela Ramasubraman</t>
  </si>
  <si>
    <t>Sanchali Shirish</t>
  </si>
  <si>
    <t>Gangadutt Ragha</t>
  </si>
  <si>
    <t>Waheeda Vasuman</t>
  </si>
  <si>
    <t>Nanak Sapna</t>
  </si>
  <si>
    <t>Shobhana Samuel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</si>
  <si>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</si>
  <si>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</si>
  <si>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</si>
  <si>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</si>
  <si>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</si>
  <si>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</si>
  <si>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</si>
  <si>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</si>
  <si>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</si>
  <si>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</si>
  <si>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</si>
  <si>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</si>
  <si>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</si>
  <si>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</si>
  <si>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</si>
  <si>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</si>
  <si>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</si>
  <si>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</si>
  <si>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</si>
  <si>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</si>
  <si>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</si>
  <si>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</si>
  <si>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</si>
  <si>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</si>
  <si>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</si>
  <si>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</si>
  <si>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</si>
  <si>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</si>
  <si>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</si>
  <si>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</si>
  <si>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</si>
  <si>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</si>
  <si>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</si>
  <si>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</si>
  <si>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</si>
  <si>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</si>
  <si>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</si>
  <si>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</si>
  <si>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</si>
  <si>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</si>
  <si>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</si>
  <si>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</si>
  <si>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</si>
  <si>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</si>
  <si>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</si>
  <si>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</si>
  <si>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</si>
  <si>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</si>
  <si>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</si>
  <si>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</si>
  <si>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</si>
  <si>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</si>
  <si>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</si>
  <si>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</si>
  <si>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</si>
  <si>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</si>
  <si>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</si>
  <si>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</si>
  <si>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Abhaya Priyavardhan</t>
  </si>
  <si>
    <t>Ayog Chakrabarti</t>
  </si>
  <si>
    <t>Pragya Nilufar</t>
  </si>
  <si>
    <t>Shulabh Qutub Sundaramoorthy</t>
  </si>
  <si>
    <t>Vinanti Choudhari</t>
  </si>
  <si>
    <t>Ranajay Kailashnath Richa</t>
  </si>
  <si>
    <t>Asija Pothireddy</t>
  </si>
  <si>
    <t>Piyali Mahanthapa</t>
  </si>
  <si>
    <t>Sukhdev Nageshwar</t>
  </si>
  <si>
    <t>Tenure</t>
  </si>
  <si>
    <t>Bonus</t>
  </si>
  <si>
    <t>&lt;--- 5</t>
  </si>
  <si>
    <t>Calculated Annual bonus</t>
  </si>
  <si>
    <t>Not found</t>
  </si>
  <si>
    <t>Count of employees</t>
  </si>
  <si>
    <t>Average salary</t>
  </si>
  <si>
    <t>Average Age</t>
  </si>
  <si>
    <t>Average Tenure</t>
  </si>
  <si>
    <t>Female count</t>
  </si>
  <si>
    <t>Female ratio%</t>
  </si>
  <si>
    <t>Mid value of salary</t>
  </si>
  <si>
    <t>Mid value of Age</t>
  </si>
  <si>
    <t>salary above $90K</t>
  </si>
  <si>
    <t>Vlookup</t>
  </si>
  <si>
    <t>Xlookup</t>
  </si>
  <si>
    <t>Dept</t>
  </si>
  <si>
    <t>sales</t>
  </si>
  <si>
    <t>Getting only sales persons name, age, salary and rating in decsending order</t>
  </si>
  <si>
    <t>No of sales person:</t>
  </si>
  <si>
    <t>Gender comparison</t>
  </si>
  <si>
    <t>Values</t>
  </si>
  <si>
    <t>Count of Name</t>
  </si>
  <si>
    <t>Average of Age</t>
  </si>
  <si>
    <t>Average of Salary</t>
  </si>
  <si>
    <t>Average of Tenure</t>
  </si>
  <si>
    <t>Analyze salary Spread</t>
  </si>
  <si>
    <t>Any Correlation between salary and rating</t>
  </si>
  <si>
    <t>Company growth over time</t>
  </si>
  <si>
    <t>Regional scorecard</t>
  </si>
  <si>
    <t>Rating as number</t>
  </si>
  <si>
    <t>Year</t>
  </si>
  <si>
    <t>Grand Total</t>
  </si>
  <si>
    <t>Employee count over time</t>
  </si>
  <si>
    <t>NZ Data</t>
  </si>
  <si>
    <t>IND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</si>
</sst>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8" formatCode="[$-409]d\-mmm\-yyyy;@"/>
    <numFmt numFmtId="169" formatCode="[$$-409]#,##0.00;\-[$$-409]#,##0.00"/>
    <numFmt numFmtId="170" formatCode="0.00_ "/>
    <numFmt numFmtId="171" formatCode="[$$-409]#,##0_ ;\-[$$-409]#,##0\ "/>
    <numFmt numFmtId="172" formatCode="[$$-409]#,##0.00"/>
    <numFmt numFmtId="173" formatCode="[$$-409]#,##0.0;\-[$$-409]#,##0.0"/>
    <numFmt numFmtId="174" formatCode="0.000_ "/>
    <numFmt numFmtId="175" formatCode="0.0_ "/>
    <numFmt numFmtId="176" formatCode="0.0_);[Red]\(0.0\)"/>
    <numFmt numFmtId="177" formatCode="dd\-mmm\-yy"/>
  </numFmts>
  <fonts count="1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28"/>
      <color theme="1"/>
      <name val="Segoe UI Light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0" fillId="3" borderId="1" xfId="0" applyFill="1" applyBorder="1"/>
    <xf numFmtId="0" fontId="0" fillId="0" borderId="1" xfId="0" applyBorder="1"/>
    <xf numFmtId="168" fontId="0" fillId="0" borderId="1" xfId="0" applyNumberFormat="1" applyBorder="1"/>
    <xf numFmtId="169" fontId="0" fillId="0" borderId="1" xfId="0" applyNumberFormat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170" fontId="0" fillId="0" borderId="1" xfId="0" applyNumberFormat="1" applyBorder="1"/>
    <xf numFmtId="169" fontId="0" fillId="0" borderId="2" xfId="0" applyNumberFormat="1" applyBorder="1"/>
    <xf numFmtId="0" fontId="2" fillId="4" borderId="5" xfId="0" applyFont="1" applyFill="1" applyBorder="1"/>
    <xf numFmtId="0" fontId="0" fillId="0" borderId="0" xfId="0" applyNumberFormat="1"/>
    <xf numFmtId="171" fontId="0" fillId="0" borderId="0" xfId="0" applyNumberFormat="1"/>
    <xf numFmtId="169" fontId="0" fillId="0" borderId="0" xfId="0" applyNumberFormat="1"/>
    <xf numFmtId="0" fontId="2" fillId="4" borderId="6" xfId="0" applyFont="1" applyFill="1" applyBorder="1"/>
    <xf numFmtId="0" fontId="0" fillId="4" borderId="7" xfId="0" applyFill="1" applyBorder="1"/>
    <xf numFmtId="0" fontId="0" fillId="4" borderId="6" xfId="0" applyFill="1" applyBorder="1"/>
    <xf numFmtId="0" fontId="1" fillId="5" borderId="0" xfId="0" applyFont="1" applyFill="1"/>
    <xf numFmtId="0" fontId="0" fillId="5" borderId="0" xfId="0" applyFill="1"/>
    <xf numFmtId="0" fontId="3" fillId="0" borderId="0" xfId="0" applyFont="1"/>
    <xf numFmtId="0" fontId="0" fillId="0" borderId="0" xfId="0" applyBorder="1"/>
    <xf numFmtId="0" fontId="4" fillId="0" borderId="0" xfId="0" applyFont="1"/>
    <xf numFmtId="0" fontId="5" fillId="6" borderId="8" xfId="0" applyFont="1" applyFill="1" applyBorder="1" applyAlignment="1">
      <alignment horizontal="center" vertical="center"/>
    </xf>
    <xf numFmtId="10" fontId="6" fillId="6" borderId="8" xfId="0" applyNumberFormat="1" applyFont="1" applyFill="1" applyBorder="1" applyAlignment="1">
      <alignment horizontal="center" vertical="center" wrapText="1"/>
    </xf>
    <xf numFmtId="172" fontId="7" fillId="6" borderId="8" xfId="0" applyNumberFormat="1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10" fontId="7" fillId="7" borderId="8" xfId="0" applyNumberFormat="1" applyFont="1" applyFill="1" applyBorder="1" applyAlignment="1">
      <alignment horizontal="center" vertical="center"/>
    </xf>
    <xf numFmtId="172" fontId="7" fillId="7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7" borderId="9" xfId="0" applyFont="1" applyFill="1" applyBorder="1"/>
    <xf numFmtId="0" fontId="0" fillId="7" borderId="10" xfId="0" applyFill="1" applyBorder="1"/>
    <xf numFmtId="0" fontId="0" fillId="7" borderId="11" xfId="0" applyFill="1" applyBorder="1"/>
    <xf numFmtId="173" fontId="0" fillId="0" borderId="0" xfId="0" applyNumberFormat="1"/>
    <xf numFmtId="0" fontId="8" fillId="0" borderId="1" xfId="0" applyFont="1" applyBorder="1" applyAlignment="1">
      <alignment horizontal="center"/>
    </xf>
    <xf numFmtId="0" fontId="8" fillId="7" borderId="1" xfId="0" applyFont="1" applyFill="1" applyBorder="1"/>
    <xf numFmtId="0" fontId="9" fillId="0" borderId="0" xfId="0" applyFont="1"/>
    <xf numFmtId="0" fontId="9" fillId="0" borderId="1" xfId="0" applyFont="1" applyBorder="1"/>
    <xf numFmtId="169" fontId="9" fillId="0" borderId="1" xfId="0" applyNumberFormat="1" applyFont="1" applyBorder="1"/>
    <xf numFmtId="174" fontId="9" fillId="0" borderId="1" xfId="0" applyNumberFormat="1" applyFont="1" applyBorder="1"/>
    <xf numFmtId="175" fontId="9" fillId="0" borderId="1" xfId="0" applyNumberFormat="1" applyFont="1" applyBorder="1"/>
    <xf numFmtId="176" fontId="9" fillId="0" borderId="1" xfId="0" applyNumberFormat="1" applyFont="1" applyBorder="1"/>
    <xf numFmtId="9" fontId="9" fillId="0" borderId="1" xfId="0" applyNumberFormat="1" applyFont="1" applyBorder="1"/>
    <xf numFmtId="0" fontId="8" fillId="7" borderId="0" xfId="0" applyFont="1" applyFill="1"/>
    <xf numFmtId="0" fontId="9" fillId="2" borderId="9" xfId="0" applyFont="1" applyFill="1" applyBorder="1"/>
    <xf numFmtId="0" fontId="9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10" fillId="0" borderId="0" xfId="0" applyFont="1"/>
    <xf numFmtId="0" fontId="0" fillId="7" borderId="0" xfId="0" applyFill="1"/>
    <xf numFmtId="177" fontId="0" fillId="0" borderId="1" xfId="0" applyNumberFormat="1" applyBorder="1"/>
    <xf numFmtId="177" fontId="0" fillId="3" borderId="1" xfId="0" applyNumberFormat="1" applyFill="1" applyBorder="1"/>
    <xf numFmtId="0" fontId="0" fillId="8" borderId="0" xfId="0" applyFill="1"/>
    <xf numFmtId="0" fontId="0" fillId="9" borderId="0" xfId="0" applyFill="1"/>
    <xf numFmtId="0" fontId="11" fillId="8" borderId="0" xfId="0" applyFont="1" applyFill="1" applyAlignment="1">
      <alignment vertical="center"/>
    </xf>
    <xf numFmtId="170" fontId="0" fillId="0" borderId="0" xfId="0" applyNumberFormat="1"/>
    <xf numFmtId="0" fontId="8" fillId="0" borderId="0" xfId="0" applyFont="1"/>
    <xf numFmtId="0" fontId="0" fillId="0" borderId="0" xfId="0" pivotButton="1"/>
  </cellXfs>
  <cellStyles count="1">
    <cellStyle name="Normal" xfId="0" builtinId="0"/>
  </cellStyles>
  <dxfs count="5">
    <dxf>
      <numFmt numFmtId="171" formatCode="[$$-409]#,##0_ ;\-[$$-409]#,##0\ 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Visualization'!$K$8</c:f>
              <c:strCache>
                <c:ptCount val="1"/>
                <c:pt idx="0">
                  <c:v>Rating as number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Visualization'!$F$9:$F$191</c:f>
              <c:numCache>
                <c:formatCode>[$$-409]#,##0.00;\-[$$-409]#,##0.00</c:formatCode>
                <c:ptCount val="183"/>
                <c:pt idx="0">
                  <c:v>33920</c:v>
                </c:pt>
                <c:pt idx="1">
                  <c:v>33920</c:v>
                </c:pt>
                <c:pt idx="2">
                  <c:v>34980</c:v>
                </c:pt>
                <c:pt idx="3">
                  <c:v>34980</c:v>
                </c:pt>
                <c:pt idx="4">
                  <c:v>36040</c:v>
                </c:pt>
                <c:pt idx="5">
                  <c:v>36040</c:v>
                </c:pt>
                <c:pt idx="6">
                  <c:v>37920</c:v>
                </c:pt>
                <c:pt idx="7">
                  <c:v>37920</c:v>
                </c:pt>
                <c:pt idx="8">
                  <c:v>40400</c:v>
                </c:pt>
                <c:pt idx="9">
                  <c:v>40400</c:v>
                </c:pt>
                <c:pt idx="10">
                  <c:v>41570</c:v>
                </c:pt>
                <c:pt idx="11">
                  <c:v>41570</c:v>
                </c:pt>
                <c:pt idx="12">
                  <c:v>41980</c:v>
                </c:pt>
                <c:pt idx="13">
                  <c:v>41980</c:v>
                </c:pt>
                <c:pt idx="14">
                  <c:v>43510</c:v>
                </c:pt>
                <c:pt idx="15">
                  <c:v>43510</c:v>
                </c:pt>
                <c:pt idx="16">
                  <c:v>43840</c:v>
                </c:pt>
                <c:pt idx="17">
                  <c:v>43840</c:v>
                </c:pt>
                <c:pt idx="18">
                  <c:v>45510</c:v>
                </c:pt>
                <c:pt idx="19">
                  <c:v>45510</c:v>
                </c:pt>
                <c:pt idx="20">
                  <c:v>47360</c:v>
                </c:pt>
                <c:pt idx="21">
                  <c:v>47360</c:v>
                </c:pt>
                <c:pt idx="22">
                  <c:v>48170</c:v>
                </c:pt>
                <c:pt idx="23">
                  <c:v>48170</c:v>
                </c:pt>
                <c:pt idx="24">
                  <c:v>48530</c:v>
                </c:pt>
                <c:pt idx="25">
                  <c:v>48530</c:v>
                </c:pt>
                <c:pt idx="26">
                  <c:v>48950</c:v>
                </c:pt>
                <c:pt idx="27">
                  <c:v>48950</c:v>
                </c:pt>
                <c:pt idx="28">
                  <c:v>48980</c:v>
                </c:pt>
                <c:pt idx="29">
                  <c:v>48980</c:v>
                </c:pt>
                <c:pt idx="30">
                  <c:v>49630</c:v>
                </c:pt>
                <c:pt idx="31">
                  <c:v>49630</c:v>
                </c:pt>
                <c:pt idx="32">
                  <c:v>52610</c:v>
                </c:pt>
                <c:pt idx="33">
                  <c:v>52610</c:v>
                </c:pt>
                <c:pt idx="34">
                  <c:v>53240</c:v>
                </c:pt>
                <c:pt idx="35">
                  <c:v>53240</c:v>
                </c:pt>
                <c:pt idx="36">
                  <c:v>53540</c:v>
                </c:pt>
                <c:pt idx="37">
                  <c:v>53540</c:v>
                </c:pt>
                <c:pt idx="38">
                  <c:v>53540</c:v>
                </c:pt>
                <c:pt idx="39">
                  <c:v>53540</c:v>
                </c:pt>
                <c:pt idx="40">
                  <c:v>53870</c:v>
                </c:pt>
                <c:pt idx="41">
                  <c:v>53870</c:v>
                </c:pt>
                <c:pt idx="42">
                  <c:v>54970</c:v>
                </c:pt>
                <c:pt idx="43">
                  <c:v>54970</c:v>
                </c:pt>
                <c:pt idx="44">
                  <c:v>56870</c:v>
                </c:pt>
                <c:pt idx="45">
                  <c:v>56870</c:v>
                </c:pt>
                <c:pt idx="46">
                  <c:v>57090</c:v>
                </c:pt>
                <c:pt idx="47">
                  <c:v>57090</c:v>
                </c:pt>
                <c:pt idx="48">
                  <c:v>58100</c:v>
                </c:pt>
                <c:pt idx="49">
                  <c:v>58100</c:v>
                </c:pt>
                <c:pt idx="50">
                  <c:v>58940</c:v>
                </c:pt>
                <c:pt idx="51">
                  <c:v>58940</c:v>
                </c:pt>
                <c:pt idx="52">
                  <c:v>58960</c:v>
                </c:pt>
                <c:pt idx="53">
                  <c:v>58960</c:v>
                </c:pt>
                <c:pt idx="54">
                  <c:v>59430</c:v>
                </c:pt>
                <c:pt idx="55">
                  <c:v>59430</c:v>
                </c:pt>
                <c:pt idx="56">
                  <c:v>60130</c:v>
                </c:pt>
                <c:pt idx="57">
                  <c:v>60130</c:v>
                </c:pt>
                <c:pt idx="58">
                  <c:v>60570</c:v>
                </c:pt>
                <c:pt idx="59">
                  <c:v>60570</c:v>
                </c:pt>
                <c:pt idx="60">
                  <c:v>62780</c:v>
                </c:pt>
                <c:pt idx="61">
                  <c:v>62780</c:v>
                </c:pt>
                <c:pt idx="62">
                  <c:v>64000</c:v>
                </c:pt>
                <c:pt idx="63">
                  <c:v>64000</c:v>
                </c:pt>
                <c:pt idx="64">
                  <c:v>65360</c:v>
                </c:pt>
                <c:pt idx="65">
                  <c:v>65360</c:v>
                </c:pt>
                <c:pt idx="66">
                  <c:v>65700</c:v>
                </c:pt>
                <c:pt idx="67">
                  <c:v>65700</c:v>
                </c:pt>
                <c:pt idx="68">
                  <c:v>65920</c:v>
                </c:pt>
                <c:pt idx="69">
                  <c:v>65920</c:v>
                </c:pt>
                <c:pt idx="70">
                  <c:v>67910</c:v>
                </c:pt>
                <c:pt idx="71">
                  <c:v>67910</c:v>
                </c:pt>
                <c:pt idx="72">
                  <c:v>67950</c:v>
                </c:pt>
                <c:pt idx="73">
                  <c:v>67950</c:v>
                </c:pt>
                <c:pt idx="74">
                  <c:v>68900</c:v>
                </c:pt>
                <c:pt idx="75">
                  <c:v>68900</c:v>
                </c:pt>
                <c:pt idx="76">
                  <c:v>69070</c:v>
                </c:pt>
                <c:pt idx="77">
                  <c:v>69070</c:v>
                </c:pt>
                <c:pt idx="78">
                  <c:v>69120</c:v>
                </c:pt>
                <c:pt idx="79">
                  <c:v>69120</c:v>
                </c:pt>
                <c:pt idx="80">
                  <c:v>69710</c:v>
                </c:pt>
                <c:pt idx="81">
                  <c:v>69710</c:v>
                </c:pt>
                <c:pt idx="82">
                  <c:v>70270</c:v>
                </c:pt>
                <c:pt idx="83">
                  <c:v>70270</c:v>
                </c:pt>
                <c:pt idx="84">
                  <c:v>70610</c:v>
                </c:pt>
                <c:pt idx="85">
                  <c:v>70610</c:v>
                </c:pt>
                <c:pt idx="86">
                  <c:v>71380</c:v>
                </c:pt>
                <c:pt idx="87">
                  <c:v>71380</c:v>
                </c:pt>
                <c:pt idx="88">
                  <c:v>74550</c:v>
                </c:pt>
                <c:pt idx="89">
                  <c:v>74550</c:v>
                </c:pt>
                <c:pt idx="90">
                  <c:v>75000</c:v>
                </c:pt>
                <c:pt idx="91">
                  <c:v>75000</c:v>
                </c:pt>
                <c:pt idx="92">
                  <c:v>75280</c:v>
                </c:pt>
                <c:pt idx="93">
                  <c:v>75280</c:v>
                </c:pt>
                <c:pt idx="94">
                  <c:v>75480</c:v>
                </c:pt>
                <c:pt idx="95">
                  <c:v>75480</c:v>
                </c:pt>
                <c:pt idx="96">
                  <c:v>75880</c:v>
                </c:pt>
                <c:pt idx="97">
                  <c:v>75880</c:v>
                </c:pt>
                <c:pt idx="98">
                  <c:v>75970</c:v>
                </c:pt>
                <c:pt idx="99">
                  <c:v>75970</c:v>
                </c:pt>
                <c:pt idx="100">
                  <c:v>76900</c:v>
                </c:pt>
                <c:pt idx="101">
                  <c:v>76900</c:v>
                </c:pt>
                <c:pt idx="102">
                  <c:v>78390</c:v>
                </c:pt>
                <c:pt idx="103">
                  <c:v>78390</c:v>
                </c:pt>
                <c:pt idx="104">
                  <c:v>78540</c:v>
                </c:pt>
                <c:pt idx="105">
                  <c:v>78540</c:v>
                </c:pt>
                <c:pt idx="106">
                  <c:v>79570</c:v>
                </c:pt>
                <c:pt idx="107">
                  <c:v>79570</c:v>
                </c:pt>
                <c:pt idx="108">
                  <c:v>80700</c:v>
                </c:pt>
                <c:pt idx="109">
                  <c:v>80700</c:v>
                </c:pt>
                <c:pt idx="110">
                  <c:v>83750</c:v>
                </c:pt>
                <c:pt idx="111">
                  <c:v>83750</c:v>
                </c:pt>
                <c:pt idx="112">
                  <c:v>85000</c:v>
                </c:pt>
                <c:pt idx="113">
                  <c:v>85000</c:v>
                </c:pt>
                <c:pt idx="114">
                  <c:v>86570</c:v>
                </c:pt>
                <c:pt idx="115">
                  <c:v>86570</c:v>
                </c:pt>
                <c:pt idx="116">
                  <c:v>87620</c:v>
                </c:pt>
                <c:pt idx="117">
                  <c:v>87620</c:v>
                </c:pt>
                <c:pt idx="118">
                  <c:v>88050</c:v>
                </c:pt>
                <c:pt idx="119">
                  <c:v>88050</c:v>
                </c:pt>
                <c:pt idx="120">
                  <c:v>90700</c:v>
                </c:pt>
                <c:pt idx="121">
                  <c:v>90700</c:v>
                </c:pt>
                <c:pt idx="122">
                  <c:v>91310</c:v>
                </c:pt>
                <c:pt idx="123">
                  <c:v>91310</c:v>
                </c:pt>
                <c:pt idx="124">
                  <c:v>91650</c:v>
                </c:pt>
                <c:pt idx="125">
                  <c:v>91650</c:v>
                </c:pt>
                <c:pt idx="126">
                  <c:v>92450</c:v>
                </c:pt>
                <c:pt idx="127">
                  <c:v>92450</c:v>
                </c:pt>
                <c:pt idx="128">
                  <c:v>92700</c:v>
                </c:pt>
                <c:pt idx="129">
                  <c:v>92700</c:v>
                </c:pt>
                <c:pt idx="130">
                  <c:v>96140</c:v>
                </c:pt>
                <c:pt idx="131">
                  <c:v>96140</c:v>
                </c:pt>
                <c:pt idx="132">
                  <c:v>96800</c:v>
                </c:pt>
                <c:pt idx="133">
                  <c:v>96800</c:v>
                </c:pt>
                <c:pt idx="134">
                  <c:v>99750</c:v>
                </c:pt>
                <c:pt idx="135">
                  <c:v>99750</c:v>
                </c:pt>
                <c:pt idx="136">
                  <c:v>99970</c:v>
                </c:pt>
                <c:pt idx="137">
                  <c:v>99970</c:v>
                </c:pt>
                <c:pt idx="138">
                  <c:v>100420</c:v>
                </c:pt>
                <c:pt idx="139">
                  <c:v>100420</c:v>
                </c:pt>
                <c:pt idx="140">
                  <c:v>103550</c:v>
                </c:pt>
                <c:pt idx="141">
                  <c:v>103550</c:v>
                </c:pt>
                <c:pt idx="142">
                  <c:v>104120</c:v>
                </c:pt>
                <c:pt idx="143">
                  <c:v>104120</c:v>
                </c:pt>
                <c:pt idx="144">
                  <c:v>104410</c:v>
                </c:pt>
                <c:pt idx="145">
                  <c:v>104410</c:v>
                </c:pt>
                <c:pt idx="146">
                  <c:v>104770</c:v>
                </c:pt>
                <c:pt idx="147">
                  <c:v>104770</c:v>
                </c:pt>
                <c:pt idx="148">
                  <c:v>106460</c:v>
                </c:pt>
                <c:pt idx="149">
                  <c:v>106460</c:v>
                </c:pt>
                <c:pt idx="150">
                  <c:v>107700</c:v>
                </c:pt>
                <c:pt idx="151">
                  <c:v>107700</c:v>
                </c:pt>
                <c:pt idx="152">
                  <c:v>109160</c:v>
                </c:pt>
                <c:pt idx="153">
                  <c:v>109160</c:v>
                </c:pt>
                <c:pt idx="154">
                  <c:v>109190</c:v>
                </c:pt>
                <c:pt idx="155">
                  <c:v>109190</c:v>
                </c:pt>
                <c:pt idx="156">
                  <c:v>112110</c:v>
                </c:pt>
                <c:pt idx="157">
                  <c:v>112110</c:v>
                </c:pt>
                <c:pt idx="158">
                  <c:v>112570</c:v>
                </c:pt>
                <c:pt idx="159">
                  <c:v>112570</c:v>
                </c:pt>
                <c:pt idx="160">
                  <c:v>112650</c:v>
                </c:pt>
                <c:pt idx="161">
                  <c:v>112650</c:v>
                </c:pt>
                <c:pt idx="162">
                  <c:v>112650</c:v>
                </c:pt>
                <c:pt idx="163">
                  <c:v>112780</c:v>
                </c:pt>
                <c:pt idx="164">
                  <c:v>112780</c:v>
                </c:pt>
                <c:pt idx="165">
                  <c:v>113280</c:v>
                </c:pt>
                <c:pt idx="166">
                  <c:v>113280</c:v>
                </c:pt>
                <c:pt idx="167">
                  <c:v>114180</c:v>
                </c:pt>
                <c:pt idx="168">
                  <c:v>114180</c:v>
                </c:pt>
                <c:pt idx="169">
                  <c:v>114870</c:v>
                </c:pt>
                <c:pt idx="170">
                  <c:v>114870</c:v>
                </c:pt>
                <c:pt idx="171">
                  <c:v>114890</c:v>
                </c:pt>
                <c:pt idx="172">
                  <c:v>114890</c:v>
                </c:pt>
                <c:pt idx="173">
                  <c:v>115440</c:v>
                </c:pt>
                <c:pt idx="174">
                  <c:v>115440</c:v>
                </c:pt>
                <c:pt idx="175">
                  <c:v>115920</c:v>
                </c:pt>
                <c:pt idx="176">
                  <c:v>115920</c:v>
                </c:pt>
                <c:pt idx="177">
                  <c:v>118100</c:v>
                </c:pt>
                <c:pt idx="178">
                  <c:v>118100</c:v>
                </c:pt>
                <c:pt idx="179">
                  <c:v>118840</c:v>
                </c:pt>
                <c:pt idx="180">
                  <c:v>118840</c:v>
                </c:pt>
                <c:pt idx="181">
                  <c:v>119110</c:v>
                </c:pt>
                <c:pt idx="182">
                  <c:v>119110</c:v>
                </c:pt>
              </c:numCache>
            </c:numRef>
          </c:xVal>
          <c:yVal>
            <c:numRef>
              <c:f>'data Visualization'!$K$9:$K$191</c:f>
              <c:numCache>
                <c:formatCode>General</c:formatCode>
                <c:ptCount val="18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1">
                  <c:v>2</c:v>
                </c:pt>
                <c:pt idx="72">
                  <c:v>3</c:v>
                </c:pt>
                <c:pt idx="73">
                  <c:v>3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5</c:v>
                </c:pt>
                <c:pt idx="91">
                  <c:v>5</c:v>
                </c:pt>
                <c:pt idx="92">
                  <c:v>3</c:v>
                </c:pt>
                <c:pt idx="93">
                  <c:v>3</c:v>
                </c:pt>
                <c:pt idx="94">
                  <c:v>1</c:v>
                </c:pt>
                <c:pt idx="95">
                  <c:v>1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4</c:v>
                </c:pt>
                <c:pt idx="125">
                  <c:v>4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5</c:v>
                </c:pt>
                <c:pt idx="153">
                  <c:v>5</c:v>
                </c:pt>
                <c:pt idx="154">
                  <c:v>4</c:v>
                </c:pt>
                <c:pt idx="155">
                  <c:v>4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4</c:v>
                </c:pt>
                <c:pt idx="165">
                  <c:v>1</c:v>
                </c:pt>
                <c:pt idx="166">
                  <c:v>1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7-44E7-A772-8D7F222F9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077192"/>
        <c:axId val="1338079240"/>
      </c:scatterChart>
      <c:valAx>
        <c:axId val="133807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;\-[$$-409]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79240"/>
        <c:crosses val="autoZero"/>
        <c:crossBetween val="midCat"/>
      </c:valAx>
      <c:valAx>
        <c:axId val="133807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77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50cbe1-b133-4165-8af9-4adbee5a16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Analysis.xlsx]data Visualization!PivotTable4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Visualization'!$Q$73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 Visualization'!$P$74:$P$78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'data Visualization'!$Q$74:$Q$78</c:f>
              <c:numCache>
                <c:formatCode>General</c:formatCode>
                <c:ptCount val="4"/>
                <c:pt idx="0">
                  <c:v>37</c:v>
                </c:pt>
                <c:pt idx="1">
                  <c:v>82</c:v>
                </c:pt>
                <c:pt idx="2">
                  <c:v>62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3-48B1-95B7-077285180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98919"/>
        <c:axId val="1630819335"/>
      </c:lineChart>
      <c:catAx>
        <c:axId val="144419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19335"/>
        <c:crosses val="autoZero"/>
        <c:auto val="1"/>
        <c:lblAlgn val="ctr"/>
        <c:lblOffset val="100"/>
        <c:noMultiLvlLbl val="0"/>
      </c:catAx>
      <c:valAx>
        <c:axId val="163081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9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e805e9-1c05-49ff-8bd3-e05e54be7c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Analysis.xlsx]data Visualization!PivotTable7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Visualization'!$U$104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Visualization'!$T$105:$T$110</c:f>
              <c:strCache>
                <c:ptCount val="5"/>
                <c:pt idx="0">
                  <c:v>Website</c:v>
                </c:pt>
                <c:pt idx="1">
                  <c:v>Procurement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</c:strCache>
            </c:strRef>
          </c:cat>
          <c:val>
            <c:numRef>
              <c:f>'data Visualization'!$U$105:$U$110</c:f>
              <c:numCache>
                <c:formatCode>General</c:formatCode>
                <c:ptCount val="5"/>
                <c:pt idx="0">
                  <c:v>27</c:v>
                </c:pt>
                <c:pt idx="1">
                  <c:v>27</c:v>
                </c:pt>
                <c:pt idx="2">
                  <c:v>19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C-42C9-81AE-F0338C84C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4344328"/>
        <c:axId val="1764352008"/>
      </c:barChart>
      <c:catAx>
        <c:axId val="1764344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52008"/>
        <c:crosses val="autoZero"/>
        <c:auto val="1"/>
        <c:lblAlgn val="ctr"/>
        <c:lblOffset val="100"/>
        <c:noMultiLvlLbl val="0"/>
      </c:catAx>
      <c:valAx>
        <c:axId val="176435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4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4dcac6-c1dc-4764-b345-ab6bdd5b0b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Analysis.xlsx]data Visualization!PivotTable6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Visualization'!$AA$103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'data Visualization'!$Z$104:$Z$109</c:f>
              <c:strCache>
                <c:ptCount val="5"/>
                <c:pt idx="0">
                  <c:v>Procurement</c:v>
                </c:pt>
                <c:pt idx="1">
                  <c:v>Website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</c:strCache>
            </c:strRef>
          </c:cat>
          <c:val>
            <c:numRef>
              <c:f>'data Visualization'!$AA$104:$AA$109</c:f>
              <c:numCache>
                <c:formatCode>General</c:formatCode>
                <c:ptCount val="5"/>
                <c:pt idx="0">
                  <c:v>28</c:v>
                </c:pt>
                <c:pt idx="1">
                  <c:v>27</c:v>
                </c:pt>
                <c:pt idx="2">
                  <c:v>19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E-4278-A03F-BE94C643D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4347400"/>
        <c:axId val="1576225799"/>
      </c:barChart>
      <c:catAx>
        <c:axId val="176434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5799"/>
        <c:crosses val="autoZero"/>
        <c:auto val="1"/>
        <c:lblAlgn val="ctr"/>
        <c:lblOffset val="100"/>
        <c:noMultiLvlLbl val="0"/>
      </c:catAx>
      <c:valAx>
        <c:axId val="1576225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de9afc-6ebb-4cbb-9255-934464dcdc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267335</xdr:colOff>
      <xdr:row>2</xdr:row>
      <xdr:rowOff>62865</xdr:rowOff>
    </xdr:from>
    <xdr:to>
      <xdr:col>8</xdr:col>
      <xdr:colOff>109220</xdr:colOff>
      <xdr:row>7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2730" y="561975"/>
              <a:ext cx="1728470" cy="965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13</xdr:col>
      <xdr:colOff>266700</xdr:colOff>
      <xdr:row>7</xdr:row>
      <xdr:rowOff>0</xdr:rowOff>
    </xdr:from>
    <xdr:to>
      <xdr:col>22</xdr:col>
      <xdr:colOff>647700</xdr:colOff>
      <xdr:row>27</xdr:row>
      <xdr:rowOff>171450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TextEdit="1"/>
        </xdr:cNvSpPr>
      </xdr:nvSpPr>
      <xdr:spPr>
        <a:xfrm>
          <a:off x="14097635" y="1609725"/>
          <a:ext cx="9232265" cy="38290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sz="1100"/>
            <a:t>This chart isn't available in your version of Excel.
Editing this shape or saving this workbook in a different file format will permanently break the chart.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Chart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23</xdr:col>
      <xdr:colOff>9525</xdr:colOff>
      <xdr:row>6</xdr:row>
      <xdr:rowOff>171450</xdr:rowOff>
    </xdr:from>
    <xdr:to>
      <xdr:col>30</xdr:col>
      <xdr:colOff>104775</xdr:colOff>
      <xdr:row>27</xdr:row>
      <xdr:rowOff>152400</xdr:rowOff>
    </xdr:to>
    <xdr:sp macro="" textlink="">
      <xdr:nvSpPr>
        <xdr:cNvPr id="4" name="Rectangles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TextEdit="1"/>
        </xdr:cNvSpPr>
      </xdr:nvSpPr>
      <xdr:spPr>
        <a:xfrm>
          <a:off x="23849330" y="1609725"/>
          <a:ext cx="7481570" cy="38100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sz="1100"/>
            <a:t>This chart isn't available in your version of Excel.
Editing this shape or saving this workbook in a different file format will permanently break the chart.</a:t>
          </a:r>
        </a:p>
      </xdr:txBody>
    </xdr:sp>
    <xdr:clientData/>
  </xdr:twoCellAnchor>
  <xdr:twoCellAnchor>
    <xdr:from>
      <xdr:col>13</xdr:col>
      <xdr:colOff>552450</xdr:colOff>
      <xdr:row>44</xdr:row>
      <xdr:rowOff>0</xdr:rowOff>
    </xdr:from>
    <xdr:to>
      <xdr:col>21</xdr:col>
      <xdr:colOff>447675</xdr:colOff>
      <xdr:row>61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104775</xdr:colOff>
      <xdr:row>72</xdr:row>
      <xdr:rowOff>0</xdr:rowOff>
    </xdr:from>
    <xdr:to>
      <xdr:col>21</xdr:col>
      <xdr:colOff>819150</xdr:colOff>
      <xdr:row>88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781050</xdr:colOff>
      <xdr:row>110</xdr:row>
      <xdr:rowOff>57150</xdr:rowOff>
    </xdr:from>
    <xdr:to>
      <xdr:col>22</xdr:col>
      <xdr:colOff>361950</xdr:colOff>
      <xdr:row>126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552450</xdr:colOff>
      <xdr:row>110</xdr:row>
      <xdr:rowOff>85725</xdr:rowOff>
    </xdr:from>
    <xdr:to>
      <xdr:col>27</xdr:col>
      <xdr:colOff>609600</xdr:colOff>
      <xdr:row>126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409575</xdr:colOff>
      <xdr:row>91</xdr:row>
      <xdr:rowOff>47625</xdr:rowOff>
    </xdr:from>
    <xdr:to>
      <xdr:col>22</xdr:col>
      <xdr:colOff>466725</xdr:colOff>
      <xdr:row>131</xdr:row>
      <xdr:rowOff>28575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23091775" y="17484090"/>
          <a:ext cx="57150" cy="798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5.9358929398" createdVersion="8" refreshedVersion="8" minRefreshableVersion="3" recordCount="183" xr:uid="{00000000-000A-0000-FFFF-FFFF00000000}">
  <cacheSource type="worksheet">
    <worksheetSource ref="A8:J191" sheet="data Visualization"/>
  </cacheSource>
  <cacheFields count="10">
    <cacheField name="Nam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Date Joined" numFmtId="168">
      <sharedItems containsSemiMixedTypes="0" containsNonDate="0" containsString="0"/>
    </cacheField>
    <cacheField name="Salary" numFmtId="169">
      <sharedItems containsSemiMixedTypes="0" containsNonDate="0" containsString="0"/>
    </cacheField>
    <cacheField name="Rating" numFmtId="0">
      <sharedItems count="5">
        <s v="Average"/>
        <s v="Very poor"/>
        <s v="Above average"/>
        <s v="Poor"/>
        <s v="Exceptional"/>
      </sharedItems>
    </cacheField>
    <cacheField name="Country" numFmtId="0">
      <sharedItems containsSemiMixedTypes="0" containsNonDate="0" containsString="0"/>
    </cacheField>
    <cacheField name="Tenure" numFmtId="170">
      <sharedItems containsSemiMixedTypes="0" containsNonDate="0" containsString="0"/>
    </cacheField>
    <cacheField name="Bonus" numFmtId="169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5.9358929398" createdVersion="5" refreshedVersion="8" minRefreshableVersion="3" recordCount="183" xr:uid="{00000000-000A-0000-FFFF-FFFF01000000}">
  <cacheSource type="worksheet">
    <worksheetSource ref="A1:I184" sheet="Total staff"/>
  </cacheSource>
  <cacheFields count="9">
    <cacheField name="Name" numFmtId="0">
      <sharedItems containsNonDate="0"/>
    </cacheField>
    <cacheField name="Gender" numFmtId="0">
      <sharedItems count="3">
        <s v="Male"/>
        <s v="Female"/>
        <s v="Not found"/>
      </sharedItems>
    </cacheField>
    <cacheField name="Department" numFmtId="0">
      <sharedItems containsNonDate="0"/>
    </cacheField>
    <cacheField name="Age" numFmtId="0">
      <sharedItems containsSemiMixedTypes="0" containsNonDate="0" containsString="0" containsNumber="1" containsInteger="1" minValue="19" maxValue="46"/>
    </cacheField>
    <cacheField name="Date Joined" numFmtId="168">
      <sharedItems containsSemiMixedTypes="0" containsNonDate="0" containsDate="1" containsString="0" minDate="2020-05-07T00:00:00" maxDate="2023-04-30T00:00:00"/>
    </cacheField>
    <cacheField name="Salary" numFmtId="169">
      <sharedItems containsSemiMixedTypes="0" containsNonDate="0" containsString="0" containsNumber="1" containsInteger="1" minValue="33920" maxValue="119110"/>
    </cacheField>
    <cacheField name="Rating" numFmtId="0">
      <sharedItems containsNonDate="0"/>
    </cacheField>
    <cacheField name="Country" numFmtId="0">
      <sharedItems count="2">
        <s v="IND"/>
        <s v="NZ"/>
      </sharedItems>
    </cacheField>
    <cacheField name="Tenure" numFmtId="170">
      <sharedItems containsSemiMixedTypes="0" containsNonDate="0" containsString="0" containsNumber="1" minValue="1.9452054794520499" maxValue="4.923287671232880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5.938435763899" createdVersion="8" refreshedVersion="8" minRefreshableVersion="3" recordCount="183" xr:uid="{00000000-000A-0000-FFFF-FFFF02000000}">
  <cacheSource type="worksheet">
    <worksheetSource ref="A8:L191" sheet="data Visualization"/>
  </cacheSource>
  <cacheFields count="12">
    <cacheField name="Nam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Date Joined" numFmtId="168">
      <sharedItems containsSemiMixedTypes="0" containsNonDate="0" containsString="0"/>
    </cacheField>
    <cacheField name="Salary" numFmtId="169">
      <sharedItems containsSemiMixedTypes="0" containsNonDate="0" containsString="0"/>
    </cacheField>
    <cacheField name="Rating" numFmtId="0">
      <sharedItems containsSemiMixedTypes="0" containsNonDate="0" containsString="0"/>
    </cacheField>
    <cacheField name="Country" numFmtId="0">
      <sharedItems containsSemiMixedTypes="0" containsNonDate="0" containsString="0"/>
    </cacheField>
    <cacheField name="Tenure" numFmtId="170">
      <sharedItems containsSemiMixedTypes="0" containsNonDate="0" containsString="0"/>
    </cacheField>
    <cacheField name="Bonus" numFmtId="169">
      <sharedItems containsSemiMixedTypes="0" containsNonDate="0" containsString="0"/>
    </cacheField>
    <cacheField name="Rating as number" numFmtId="0">
      <sharedItems containsSemiMixedTypes="0" containsNonDate="0" containsString="0"/>
    </cacheField>
    <cacheField name="Year" numFmtId="0">
      <sharedItems containsSemiMixedTypes="0" containsString="0" containsNumber="1" containsInteger="1" minValue="0" maxValue="2023" count="4">
        <n v="2022"/>
        <n v="2020"/>
        <n v="2021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5.956645486098" createdVersion="8" refreshedVersion="8" minRefreshableVersion="3" recordCount="183" xr:uid="{00000000-000A-0000-FFFF-FFFF03000000}">
  <cacheSource type="worksheet">
    <worksheetSource ref="A1:J184" sheet="Total staff"/>
  </cacheSource>
  <cacheFields count="10">
    <cacheField name="Nam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Department" numFmtId="0">
      <sharedItems count="5">
        <s v="Website"/>
        <s v="Procurement"/>
        <s v="HR"/>
        <s v="Finance"/>
        <s v="Sales"/>
      </sharedItems>
    </cacheField>
    <cacheField name="Age" numFmtId="0">
      <sharedItems containsSemiMixedTypes="0" containsNonDate="0" containsString="0"/>
    </cacheField>
    <cacheField name="Date Joined" numFmtId="168">
      <sharedItems containsSemiMixedTypes="0" containsNonDate="0" containsString="0"/>
    </cacheField>
    <cacheField name="Salary" numFmtId="169">
      <sharedItems containsSemiMixedTypes="0" containsNonDate="0" containsString="0"/>
    </cacheField>
    <cacheField name="Rating" numFmtId="0">
      <sharedItems containsSemiMixedTypes="0" containsNonDate="0" containsString="0"/>
    </cacheField>
    <cacheField name="Country" numFmtId="0">
      <sharedItems count="2">
        <s v="IND"/>
        <s v="NZ"/>
      </sharedItems>
    </cacheField>
    <cacheField name="Tenure" numFmtId="170">
      <sharedItems containsSemiMixedTypes="0" containsNonDate="0" containsString="0"/>
    </cacheField>
    <cacheField name="Bonus" numFmtId="169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Shubhra Potla"/>
    <s v="Female"/>
    <s v="Website"/>
    <n v="21"/>
    <d v="2022-02-27T00:00:00"/>
    <n v="33920"/>
    <x v="0"/>
    <s v="IND"/>
    <n v="3.1123287671232878"/>
    <n v="1018"/>
  </r>
  <r>
    <s v="Gretchen Callow"/>
    <s v="Female"/>
    <s v="Website"/>
    <n v="21"/>
    <d v="2022-04-27T00:00:00"/>
    <n v="33920"/>
    <x v="0"/>
    <s v="NZ"/>
    <n v="2.9506849315068493"/>
    <n v="679"/>
  </r>
  <r>
    <s v="Suchira Bhanupriya Tapti"/>
    <s v="Female"/>
    <s v="Website"/>
    <n v="29"/>
    <d v="2020-05-11T00:00:00"/>
    <n v="34980"/>
    <x v="0"/>
    <s v="IND"/>
    <n v="4.912328767123288"/>
    <n v="1050"/>
  </r>
  <r>
    <s v="Niall Selesnick"/>
    <s v="Female"/>
    <s v="Website"/>
    <n v="29"/>
    <d v="2020-07-11T00:00:00"/>
    <n v="34980"/>
    <x v="0"/>
    <s v="NZ"/>
    <n v="4.7452054794520544"/>
    <n v="1050"/>
  </r>
  <r>
    <s v="Waheeda Vasuman"/>
    <s v="Male"/>
    <s v="Sales"/>
    <n v="43"/>
    <d v="2021-12-28T00:00:00"/>
    <n v="36040"/>
    <x v="0"/>
    <s v="IND"/>
    <n v="3.2794520547945205"/>
    <n v="1082"/>
  </r>
  <r>
    <s v="Bili Sizey"/>
    <s v="Male"/>
    <s v="Sales"/>
    <n v="43"/>
    <d v="2022-02-28T00:00:00"/>
    <n v="36040"/>
    <x v="0"/>
    <s v="NZ"/>
    <n v="3.1095890410958904"/>
    <n v="1082"/>
  </r>
  <r>
    <s v="Akbar Sorabhjee"/>
    <s v="Male"/>
    <s v="Procurement"/>
    <n v="21"/>
    <d v="2020-07-30T00:00:00"/>
    <n v="37920"/>
    <x v="0"/>
    <s v="IND"/>
    <n v="4.6931506849315072"/>
    <n v="1138"/>
  </r>
  <r>
    <s v="Orton Livick"/>
    <s v="Male"/>
    <s v="Procurement"/>
    <n v="21"/>
    <d v="2020-09-30T00:00:00"/>
    <n v="37920"/>
    <x v="0"/>
    <s v="NZ"/>
    <n v="4.5232876712328771"/>
    <n v="1138"/>
  </r>
  <r>
    <s v="Shobhana Samuel"/>
    <s v="Male"/>
    <s v="Procurement"/>
    <n v="35"/>
    <d v="2022-04-15T00:00:00"/>
    <n v="40400"/>
    <x v="0"/>
    <s v="IND"/>
    <n v="2.9835616438356163"/>
    <n v="808"/>
  </r>
  <r>
    <s v="Archibald Filliskirk"/>
    <s v="Male"/>
    <s v="Procurement"/>
    <n v="35"/>
    <d v="2022-06-15T00:00:00"/>
    <n v="40400"/>
    <x v="0"/>
    <s v="NZ"/>
    <n v="2.8164383561643835"/>
    <n v="808"/>
  </r>
  <r>
    <s v="Prerana Nishita"/>
    <s v="Female"/>
    <s v="Procurement"/>
    <n v="32"/>
    <d v="2021-12-19T00:00:00"/>
    <n v="41570"/>
    <x v="0"/>
    <s v="IND"/>
    <n v="3.3041095890410959"/>
    <n v="1248"/>
  </r>
  <r>
    <s v="Crissie Cordel"/>
    <s v="Female"/>
    <s v="Procurement"/>
    <n v="32"/>
    <d v="2022-02-19T00:00:00"/>
    <n v="41570"/>
    <x v="0"/>
    <s v="NZ"/>
    <n v="3.1342465753424658"/>
    <n v="1248"/>
  </r>
  <r>
    <s v="Jagajeet Viraj"/>
    <s v="Female"/>
    <s v="Website"/>
    <n v="31"/>
    <d v="2020-09-10T00:00:00"/>
    <n v="41980"/>
    <x v="0"/>
    <s v="IND"/>
    <n v="4.5780821917808217"/>
    <n v="1260"/>
  </r>
  <r>
    <s v="Dotty Strutley"/>
    <s v="Female"/>
    <s v="Website"/>
    <n v="31"/>
    <d v="2020-11-10T00:00:00"/>
    <n v="41980"/>
    <x v="0"/>
    <s v="NZ"/>
    <n v="4.4109589041095889"/>
    <n v="1260"/>
  </r>
  <r>
    <s v="Rupak Mehra"/>
    <s v="Male"/>
    <s v="Sales"/>
    <n v="28"/>
    <d v="2022-07-16T00:00:00"/>
    <n v="43510"/>
    <x v="1"/>
    <s v="IND"/>
    <n v="2.7315068493150685"/>
    <n v="871"/>
  </r>
  <r>
    <s v="Drusy MacCombe"/>
    <s v="Male"/>
    <s v="Sales"/>
    <n v="28"/>
    <d v="2022-09-16T00:00:00"/>
    <n v="43510"/>
    <x v="1"/>
    <s v="NZ"/>
    <n v="2.5616438356164384"/>
    <n v="871"/>
  </r>
  <r>
    <s v="Yagna Sujeev"/>
    <s v="Female"/>
    <s v="Website"/>
    <n v="32"/>
    <d v="2021-04-07T00:00:00"/>
    <n v="43840"/>
    <x v="2"/>
    <s v="IND"/>
    <n v="4.0054794520547947"/>
    <n v="1316"/>
  </r>
  <r>
    <s v="Kassi Jonson"/>
    <s v="Female"/>
    <s v="Website"/>
    <n v="32"/>
    <d v="2021-06-07T00:00:00"/>
    <n v="43840"/>
    <x v="2"/>
    <s v="NZ"/>
    <n v="3.8383561643835615"/>
    <n v="1316"/>
  </r>
  <r>
    <s v="Madhavdas Buhpathi"/>
    <s v="Female"/>
    <s v="HR"/>
    <n v="32"/>
    <d v="2021-05-23T00:00:00"/>
    <n v="45510"/>
    <x v="0"/>
    <s v="IND"/>
    <n v="3.8794520547945206"/>
    <n v="1366"/>
  </r>
  <r>
    <s v="Florinda Crace"/>
    <s v="Female"/>
    <s v="HR"/>
    <n v="32"/>
    <d v="2021-07-23T00:00:00"/>
    <n v="45510"/>
    <x v="0"/>
    <s v="NZ"/>
    <n v="3.7123287671232879"/>
    <n v="1366"/>
  </r>
  <r>
    <s v="Shiuli Sapna"/>
    <s v="Male"/>
    <s v="Procurement"/>
    <n v="26"/>
    <d v="2020-11-29T00:00:00"/>
    <n v="47360"/>
    <x v="0"/>
    <s v="IND"/>
    <n v="4.3589041095890408"/>
    <n v="1421"/>
  </r>
  <r>
    <s v="Dell Molloy"/>
    <s v="Male"/>
    <s v="Procurement"/>
    <n v="26"/>
    <d v="2021-01-29T00:00:00"/>
    <n v="47360"/>
    <x v="0"/>
    <s v="NZ"/>
    <n v="4.1917808219178081"/>
    <n v="1421"/>
  </r>
  <r>
    <s v="Ardhendu Abhichandra Jayakar"/>
    <s v="Male"/>
    <s v="Finance"/>
    <n v="28"/>
    <d v="2020-05-29T00:00:00"/>
    <n v="48170"/>
    <x v="2"/>
    <s v="IND"/>
    <n v="4.8630136986301373"/>
    <n v="1446"/>
  </r>
  <r>
    <s v="Jan Morforth"/>
    <s v="Male"/>
    <s v="Finance"/>
    <n v="28"/>
    <d v="2020-07-29T00:00:00"/>
    <n v="48170"/>
    <x v="2"/>
    <s v="NZ"/>
    <n v="4.6958904109589037"/>
    <n v="1446"/>
  </r>
  <r>
    <s v="Piyali Mahanthapa"/>
    <s v="Male"/>
    <s v="Procurement"/>
    <n v="33"/>
    <d v="2022-03-20T00:00:00"/>
    <n v="48530"/>
    <x v="2"/>
    <s v="IND"/>
    <n v="3.0547945205479454"/>
    <n v="1456"/>
  </r>
  <r>
    <s v="Erin Androsik"/>
    <s v="Male"/>
    <s v="Procurement"/>
    <n v="33"/>
    <d v="2022-05-20T00:00:00"/>
    <n v="48530"/>
    <x v="2"/>
    <s v="NZ"/>
    <n v="2.8876712328767122"/>
    <n v="971"/>
  </r>
  <r>
    <s v="Amal Nimesh"/>
    <s v="Male"/>
    <s v="Website"/>
    <n v="31"/>
    <d v="2021-09-11T00:00:00"/>
    <n v="48950"/>
    <x v="0"/>
    <s v="IND"/>
    <n v="3.5753424657534247"/>
    <n v="1469"/>
  </r>
  <r>
    <s v="Gunar Cockshoot"/>
    <s v="Male"/>
    <s v="Website"/>
    <n v="31"/>
    <d v="2021-11-11T00:00:00"/>
    <n v="48950"/>
    <x v="0"/>
    <s v="NZ"/>
    <n v="3.408219178082192"/>
    <n v="1469"/>
  </r>
  <r>
    <s v="Vanmala Shriharsha"/>
    <s v="Male"/>
    <s v="Finance"/>
    <n v="27"/>
    <d v="2021-11-06T00:00:00"/>
    <n v="48980"/>
    <x v="0"/>
    <s v="IND"/>
    <n v="3.4219178082191779"/>
    <n v="1470"/>
  </r>
  <r>
    <s v="Esmaria Denecamp"/>
    <s v="Male"/>
    <s v="Finance"/>
    <n v="27"/>
    <d v="2022-01-06T00:00:00"/>
    <n v="48980"/>
    <x v="0"/>
    <s v="NZ"/>
    <n v="3.2547945205479452"/>
    <n v="1470"/>
  </r>
  <r>
    <s v="Daruka Ghazali"/>
    <s v="Female"/>
    <s v="Sales"/>
    <n v="34"/>
    <d v="2022-04-09T00:00:00"/>
    <n v="49630"/>
    <x v="3"/>
    <s v="IND"/>
    <n v="3"/>
    <n v="993"/>
  </r>
  <r>
    <s v="Violante Courtonne"/>
    <s v="Female"/>
    <s v="Sales"/>
    <n v="34"/>
    <d v="2022-06-09T00:00:00"/>
    <n v="49630"/>
    <x v="3"/>
    <s v="NZ"/>
    <n v="2.8328767123287673"/>
    <n v="993"/>
  </r>
  <r>
    <s v="Gumwant Veera"/>
    <s v="Male"/>
    <s v="Finance"/>
    <n v="24"/>
    <d v="2021-06-28T00:00:00"/>
    <n v="52610"/>
    <x v="3"/>
    <s v="IND"/>
    <n v="3.7808219178082192"/>
    <n v="1579"/>
  </r>
  <r>
    <s v="Kaye Crocroft"/>
    <s v="Male"/>
    <s v="Finance"/>
    <n v="24"/>
    <d v="2021-08-28T00:00:00"/>
    <n v="52610"/>
    <x v="3"/>
    <s v="NZ"/>
    <n v="3.6136986301369864"/>
    <n v="1579"/>
  </r>
  <r>
    <s v="Anumati Shyamari Meherhomji"/>
    <s v="Female"/>
    <s v="Sales"/>
    <n v="28"/>
    <d v="2021-04-10T00:00:00"/>
    <n v="53240"/>
    <x v="0"/>
    <s v="IND"/>
    <n v="3.9972602739726026"/>
    <n v="1598"/>
  </r>
  <r>
    <s v="Tatum Hush"/>
    <s v="Female"/>
    <s v="Sales"/>
    <n v="28"/>
    <d v="2021-06-10T00:00:00"/>
    <n v="53240"/>
    <x v="0"/>
    <s v="NZ"/>
    <n v="3.8301369863013699"/>
    <n v="1598"/>
  </r>
  <r>
    <s v="Geena Raghavanpillai"/>
    <s v="Male"/>
    <s v="Sales"/>
    <n v="32"/>
    <d v="2021-07-26T00:00:00"/>
    <n v="53540"/>
    <x v="0"/>
    <s v="IND"/>
    <n v="3.7041095890410958"/>
    <n v="1607"/>
  </r>
  <r>
    <s v="Chitrasen Laul"/>
    <s v="Male"/>
    <s v="Procurement"/>
    <n v="26"/>
    <d v="2021-06-03T00:00:00"/>
    <n v="53540"/>
    <x v="0"/>
    <s v="IND"/>
    <n v="3.8493150684931505"/>
    <n v="1607"/>
  </r>
  <r>
    <s v="Hoyt D'Alesco"/>
    <s v="Male"/>
    <s v="Sales"/>
    <n v="32"/>
    <d v="2021-09-26T00:00:00"/>
    <n v="53540"/>
    <x v="0"/>
    <s v="NZ"/>
    <n v="3.5342465753424657"/>
    <n v="1607"/>
  </r>
  <r>
    <s v="Zach Polon"/>
    <s v="Male"/>
    <s v="Procurement"/>
    <n v="26"/>
    <d v="2021-08-03T00:00:00"/>
    <n v="53540"/>
    <x v="0"/>
    <s v="NZ"/>
    <n v="3.6821917808219178"/>
    <n v="1607"/>
  </r>
  <r>
    <s v="Pragya Nilufar"/>
    <s v="Male"/>
    <s v="Website"/>
    <n v="33"/>
    <d v="2021-09-09T00:00:00"/>
    <n v="53870"/>
    <x v="0"/>
    <s v="IND"/>
    <n v="3.580821917808219"/>
    <n v="1617"/>
  </r>
  <r>
    <s v="William Reeveley"/>
    <s v="Male"/>
    <s v="Website"/>
    <n v="33"/>
    <d v="2021-11-09T00:00:00"/>
    <n v="53870"/>
    <x v="0"/>
    <s v="NZ"/>
    <n v="3.4136986301369863"/>
    <n v="1617"/>
  </r>
  <r>
    <s v="Sanchali Shirish"/>
    <s v="Male"/>
    <s v="Sales"/>
    <n v="27"/>
    <d v="2020-08-30T00:00:00"/>
    <n v="54970"/>
    <x v="0"/>
    <s v="IND"/>
    <n v="4.6082191780821917"/>
    <n v="1650"/>
  </r>
  <r>
    <s v="Alta Kaszper"/>
    <s v="Male"/>
    <s v="Sales"/>
    <n v="27"/>
    <d v="2020-10-30T00:00:00"/>
    <n v="54970"/>
    <x v="0"/>
    <s v="NZ"/>
    <n v="4.441095890410959"/>
    <n v="1650"/>
  </r>
  <r>
    <s v="Mirium Seemantini Shivakumar"/>
    <s v="Female"/>
    <s v="Sales"/>
    <n v="38"/>
    <d v="2021-03-13T00:00:00"/>
    <n v="56870"/>
    <x v="2"/>
    <s v="IND"/>
    <n v="4.0739726027397261"/>
    <n v="1707"/>
  </r>
  <r>
    <s v="Oran Buxcy"/>
    <s v="Female"/>
    <s v="Sales"/>
    <n v="38"/>
    <d v="2021-05-13T00:00:00"/>
    <n v="56870"/>
    <x v="2"/>
    <s v="NZ"/>
    <n v="3.9068493150684933"/>
    <n v="1707"/>
  </r>
  <r>
    <s v="Shattesh Utpat"/>
    <s v="Male"/>
    <s v="Procurement"/>
    <n v="21"/>
    <d v="2022-05-20T00:00:00"/>
    <n v="57090"/>
    <x v="0"/>
    <s v="IND"/>
    <n v="2.8876712328767122"/>
    <n v="1142"/>
  </r>
  <r>
    <s v="Kelci Walkden"/>
    <s v="Male"/>
    <s v="Procurement"/>
    <n v="21"/>
    <d v="2022-07-20T00:00:00"/>
    <n v="57090"/>
    <x v="0"/>
    <s v="NZ"/>
    <n v="2.7205479452054795"/>
    <n v="1142"/>
  </r>
  <r>
    <s v="Pratigya Rema"/>
    <s v="Female"/>
    <s v="Website"/>
    <n v="31"/>
    <d v="2022-02-12T00:00:00"/>
    <n v="58100"/>
    <x v="0"/>
    <s v="IND"/>
    <n v="3.1534246575342464"/>
    <n v="1743"/>
  </r>
  <r>
    <s v="Brien Boise"/>
    <s v="Female"/>
    <s v="Website"/>
    <n v="31"/>
    <d v="2022-04-12T00:00:00"/>
    <n v="58100"/>
    <x v="0"/>
    <s v="NZ"/>
    <n v="2.9917808219178084"/>
    <n v="1162"/>
  </r>
  <r>
    <s v="Krittika Gaekwad"/>
    <s v="Female"/>
    <s v="Finance"/>
    <n v="34"/>
    <d v="2022-02-02T00:00:00"/>
    <n v="58940"/>
    <x v="0"/>
    <s v="IND"/>
    <n v="3.1808219178082191"/>
    <n v="1769"/>
  </r>
  <r>
    <s v="Oby Sorrel"/>
    <s v="Female"/>
    <s v="Finance"/>
    <n v="34"/>
    <d v="2022-04-02T00:00:00"/>
    <n v="58940"/>
    <x v="0"/>
    <s v="NZ"/>
    <n v="3.0191780821917806"/>
    <n v="1769"/>
  </r>
  <r>
    <s v="Vinanti Choudhari"/>
    <s v="Male"/>
    <s v="Procurement"/>
    <n v="19"/>
    <d v="2021-01-22T00:00:00"/>
    <n v="58960"/>
    <x v="0"/>
    <s v="IND"/>
    <n v="4.2109589041095887"/>
    <n v="1769"/>
  </r>
  <r>
    <s v="Lilyan Klimpt"/>
    <s v="Male"/>
    <s v="Procurement"/>
    <n v="19"/>
    <d v="2021-03-22T00:00:00"/>
    <n v="58960"/>
    <x v="0"/>
    <s v="NZ"/>
    <n v="4.0493150684931507"/>
    <n v="1769"/>
  </r>
  <r>
    <s v="Asija Pothireddy"/>
    <s v="Male"/>
    <s v="Finance"/>
    <n v="33"/>
    <d v="2020-12-16T00:00:00"/>
    <n v="59430"/>
    <x v="0"/>
    <s v="IND"/>
    <n v="4.3123287671232875"/>
    <n v="1783"/>
  </r>
  <r>
    <s v="My Hanscome"/>
    <s v="Male"/>
    <s v="Finance"/>
    <n v="33"/>
    <d v="2021-02-16T00:00:00"/>
    <n v="59430"/>
    <x v="0"/>
    <s v="NZ"/>
    <n v="4.1424657534246574"/>
    <n v="1783"/>
  </r>
  <r>
    <s v="Lalit Kothari"/>
    <s v="Female"/>
    <s v="Finance"/>
    <n v="34"/>
    <d v="2021-12-20T00:00:00"/>
    <n v="60130"/>
    <x v="0"/>
    <s v="IND"/>
    <n v="3.3013698630136985"/>
    <n v="1804"/>
  </r>
  <r>
    <s v="Jehu Rudeforth"/>
    <s v="Female"/>
    <s v="Finance"/>
    <n v="34"/>
    <d v="2022-02-20T00:00:00"/>
    <n v="60130"/>
    <x v="0"/>
    <s v="NZ"/>
    <n v="3.1315068493150684"/>
    <n v="1804"/>
  </r>
  <r>
    <s v="Mardav Ramaswami"/>
    <s v="Male"/>
    <s v="Procurement"/>
    <n v="30"/>
    <d v="2022-02-15T00:00:00"/>
    <n v="60570"/>
    <x v="0"/>
    <s v="IND"/>
    <n v="3.1452054794520548"/>
    <n v="1818"/>
  </r>
  <r>
    <s v="Mallorie Waber"/>
    <s v="Male"/>
    <s v="Procurement"/>
    <n v="30"/>
    <d v="2022-04-15T00:00:00"/>
    <n v="60570"/>
    <x v="0"/>
    <s v="NZ"/>
    <n v="2.9835616438356163"/>
    <n v="1212"/>
  </r>
  <r>
    <s v="Fullara Sushanti Mokate"/>
    <s v="Female"/>
    <s v="Website"/>
    <n v="24"/>
    <d v="2020-09-13T00:00:00"/>
    <n v="62780"/>
    <x v="0"/>
    <s v="IND"/>
    <n v="4.5698630136986305"/>
    <n v="1884"/>
  </r>
  <r>
    <s v="Vic Radolf"/>
    <s v="Female"/>
    <s v="Website"/>
    <n v="24"/>
    <d v="2020-11-13T00:00:00"/>
    <n v="62780"/>
    <x v="0"/>
    <s v="NZ"/>
    <n v="4.4027397260273968"/>
    <n v="1884"/>
  </r>
  <r>
    <s v="Upendra Swati"/>
    <s v="Not found"/>
    <s v="Finance"/>
    <n v="30"/>
    <d v="2021-12-05T00:00:00"/>
    <n v="64000"/>
    <x v="0"/>
    <s v="IND"/>
    <n v="3.3424657534246576"/>
    <n v="1920"/>
  </r>
  <r>
    <s v="Curtice Advani"/>
    <s v="Not found"/>
    <s v="Finance"/>
    <n v="30"/>
    <d v="2022-02-05T00:00:00"/>
    <n v="64000"/>
    <x v="0"/>
    <s v="NZ"/>
    <n v="3.1726027397260275"/>
    <n v="1920"/>
  </r>
  <r>
    <s v="Kevalkumar Solanki"/>
    <s v="Female"/>
    <s v="Finance"/>
    <n v="33"/>
    <d v="2020-06-24T00:00:00"/>
    <n v="65360"/>
    <x v="0"/>
    <s v="IND"/>
    <n v="4.7917808219178086"/>
    <n v="1961"/>
  </r>
  <r>
    <s v="Teressa Udden"/>
    <s v="Female"/>
    <s v="Finance"/>
    <n v="33"/>
    <d v="2020-08-24T00:00:00"/>
    <n v="65360"/>
    <x v="0"/>
    <s v="NZ"/>
    <n v="4.624657534246575"/>
    <n v="1961"/>
  </r>
  <r>
    <s v="Abhaya Priyavardhan"/>
    <s v="Male"/>
    <s v="Sales"/>
    <n v="25"/>
    <d v="2021-05-06T00:00:00"/>
    <n v="65700"/>
    <x v="0"/>
    <s v="IND"/>
    <n v="3.9260273972602739"/>
    <n v="1971"/>
  </r>
  <r>
    <s v="Kath Bletsoe"/>
    <s v="Male"/>
    <s v="Sales"/>
    <n v="25"/>
    <d v="2021-07-06T00:00:00"/>
    <n v="65700"/>
    <x v="0"/>
    <s v="NZ"/>
    <n v="3.7589041095890412"/>
    <n v="1971"/>
  </r>
  <r>
    <s v="Agrata Rajarama"/>
    <s v="Female"/>
    <s v="Finance"/>
    <n v="21"/>
    <d v="2021-03-01T00:00:00"/>
    <n v="65920"/>
    <x v="0"/>
    <s v="IND"/>
    <n v="4.1068493150684935"/>
    <n v="1978"/>
  </r>
  <r>
    <s v="Marney O'Breen"/>
    <s v="Female"/>
    <s v="Finance"/>
    <n v="21"/>
    <d v="2021-05-01T00:00:00"/>
    <n v="65920"/>
    <x v="0"/>
    <s v="NZ"/>
    <n v="3.9397260273972603"/>
    <n v="1978"/>
  </r>
  <r>
    <s v="Kantimoy Pritish"/>
    <s v="Female"/>
    <s v="Finance"/>
    <n v="30"/>
    <d v="2021-05-12T00:00:00"/>
    <n v="67910"/>
    <x v="3"/>
    <s v="IND"/>
    <n v="3.9095890410958902"/>
    <n v="2038"/>
  </r>
  <r>
    <s v="Husein Augar"/>
    <s v="Female"/>
    <s v="Finance"/>
    <n v="30"/>
    <d v="2021-07-12T00:00:00"/>
    <n v="67910"/>
    <x v="3"/>
    <s v="NZ"/>
    <n v="3.7424657534246575"/>
    <n v="2038"/>
  </r>
  <r>
    <s v="Mahindra Sreedharan"/>
    <s v="Male"/>
    <s v="Procurement"/>
    <n v="30"/>
    <d v="2022-03-20T00:00:00"/>
    <n v="67950"/>
    <x v="0"/>
    <s v="IND"/>
    <n v="3.0547945205479454"/>
    <n v="2039"/>
  </r>
  <r>
    <s v="Ebonee Roxburgh"/>
    <s v="Male"/>
    <s v="Procurement"/>
    <n v="30"/>
    <d v="2022-05-20T00:00:00"/>
    <n v="67950"/>
    <x v="0"/>
    <s v="NZ"/>
    <n v="2.8876712328767122"/>
    <n v="1359"/>
  </r>
  <r>
    <s v="Devasree Fullara Saurin"/>
    <s v="Female"/>
    <s v="Sales"/>
    <n v="20"/>
    <d v="2021-10-07T00:00:00"/>
    <n v="68900"/>
    <x v="3"/>
    <s v="IND"/>
    <n v="3.504109589041096"/>
    <n v="2067"/>
  </r>
  <r>
    <s v="Hyacinthie Braybrooke"/>
    <s v="Female"/>
    <s v="Sales"/>
    <n v="20"/>
    <d v="2021-12-07T00:00:00"/>
    <n v="68900"/>
    <x v="3"/>
    <s v="NZ"/>
    <n v="3.3369863013698629"/>
    <n v="2067"/>
  </r>
  <r>
    <s v="Jaishree Atasi Yavatkar"/>
    <s v="Male"/>
    <s v="Website"/>
    <n v="37"/>
    <d v="2022-03-20T00:00:00"/>
    <n v="69070"/>
    <x v="0"/>
    <s v="IND"/>
    <n v="3.0547945205479454"/>
    <n v="2073"/>
  </r>
  <r>
    <s v="Murry Dryburgh"/>
    <s v="Male"/>
    <s v="Website"/>
    <n v="37"/>
    <d v="2022-05-20T00:00:00"/>
    <n v="69070"/>
    <x v="0"/>
    <s v="NZ"/>
    <n v="2.8876712328767122"/>
    <n v="1382"/>
  </r>
  <r>
    <s v="Rameshwari Chikodi"/>
    <s v="Male"/>
    <s v="Website"/>
    <n v="30"/>
    <d v="2021-01-18T00:00:00"/>
    <n v="69120"/>
    <x v="0"/>
    <s v="IND"/>
    <n v="4.2219178082191782"/>
    <n v="2074"/>
  </r>
  <r>
    <s v="Andria Kimpton"/>
    <s v="Male"/>
    <s v="Website"/>
    <n v="30"/>
    <d v="2021-03-18T00:00:00"/>
    <n v="69120"/>
    <x v="0"/>
    <s v="NZ"/>
    <n v="4.0602739726027401"/>
    <n v="2074"/>
  </r>
  <r>
    <s v="Shekhar Eswara"/>
    <s v="Male"/>
    <s v="Website"/>
    <n v="30"/>
    <d v="2022-08-16T00:00:00"/>
    <n v="69710"/>
    <x v="0"/>
    <s v="IND"/>
    <n v="2.6465753424657534"/>
    <n v="1395"/>
  </r>
  <r>
    <s v="Myer McCory"/>
    <s v="Male"/>
    <s v="Website"/>
    <n v="30"/>
    <d v="2022-10-16T00:00:00"/>
    <n v="69710"/>
    <x v="0"/>
    <s v="NZ"/>
    <n v="2.4794520547945207"/>
    <n v="1395"/>
  </r>
  <r>
    <s v="Chandana Sannidhi Surnilla"/>
    <s v="Male"/>
    <s v="Finance"/>
    <n v="42"/>
    <d v="2022-04-19T00:00:00"/>
    <n v="70270"/>
    <x v="3"/>
    <s v="IND"/>
    <n v="2.9726027397260273"/>
    <n v="1406"/>
  </r>
  <r>
    <s v="Shayne Stegel"/>
    <s v="Male"/>
    <s v="Finance"/>
    <n v="42"/>
    <d v="2022-06-19T00:00:00"/>
    <n v="70270"/>
    <x v="3"/>
    <s v="NZ"/>
    <n v="2.8054794520547945"/>
    <n v="1406"/>
  </r>
  <r>
    <s v="Ranajay Kailashnath Richa"/>
    <s v="Male"/>
    <s v="Procurement"/>
    <n v="46"/>
    <d v="2022-05-16T00:00:00"/>
    <n v="70610"/>
    <x v="0"/>
    <s v="IND"/>
    <n v="2.8986301369863012"/>
    <n v="1413"/>
  </r>
  <r>
    <s v="Ambros Murthwaite"/>
    <s v="Male"/>
    <s v="Procurement"/>
    <n v="46"/>
    <d v="2022-07-16T00:00:00"/>
    <n v="70610"/>
    <x v="0"/>
    <s v="NZ"/>
    <n v="2.7315068493150685"/>
    <n v="1413"/>
  </r>
  <r>
    <s v="Kulbhushan Moorthy"/>
    <s v="Male"/>
    <s v="Finance"/>
    <n v="36"/>
    <d v="2021-03-17T00:00:00"/>
    <n v="71380"/>
    <x v="0"/>
    <s v="IND"/>
    <n v="4.0630136986301366"/>
    <n v="2142"/>
  </r>
  <r>
    <s v="Bennie Pepis"/>
    <s v="Male"/>
    <s v="Finance"/>
    <n v="36"/>
    <d v="2021-05-17T00:00:00"/>
    <n v="71380"/>
    <x v="0"/>
    <s v="NZ"/>
    <n v="3.8958904109589043"/>
    <n v="2142"/>
  </r>
  <r>
    <s v="Yauvani Tarpa"/>
    <s v="Male"/>
    <s v="Sales"/>
    <n v="33"/>
    <d v="2021-05-08T00:00:00"/>
    <n v="74550"/>
    <x v="0"/>
    <s v="IND"/>
    <n v="3.9205479452054797"/>
    <n v="2237"/>
  </r>
  <r>
    <s v="Gigi Bohling"/>
    <s v="Male"/>
    <s v="Sales"/>
    <n v="33"/>
    <d v="2021-07-08T00:00:00"/>
    <n v="74550"/>
    <x v="0"/>
    <s v="NZ"/>
    <n v="3.7534246575342465"/>
    <n v="2237"/>
  </r>
  <r>
    <s v="Nanak Sapna"/>
    <s v="Female"/>
    <s v="Procurement"/>
    <n v="42"/>
    <d v="2022-06-06T00:00:00"/>
    <n v="75000"/>
    <x v="4"/>
    <s v="IND"/>
    <n v="2.8410958904109589"/>
    <n v="1500"/>
  </r>
  <r>
    <s v="Barr Faughny"/>
    <s v="Female"/>
    <s v="Procurement"/>
    <n v="42"/>
    <d v="2022-08-06T00:00:00"/>
    <n v="75000"/>
    <x v="4"/>
    <s v="NZ"/>
    <n v="2.6739726027397261"/>
    <n v="1500"/>
  </r>
  <r>
    <s v="Hemavati Muthiah"/>
    <s v="Female"/>
    <s v="Website"/>
    <n v="33"/>
    <d v="2021-02-26T00:00:00"/>
    <n v="75280"/>
    <x v="0"/>
    <s v="IND"/>
    <n v="4.1150684931506847"/>
    <n v="2259"/>
  </r>
  <r>
    <s v="Elia Cockton"/>
    <s v="Female"/>
    <s v="Website"/>
    <n v="33"/>
    <d v="2021-04-26T00:00:00"/>
    <n v="75280"/>
    <x v="0"/>
    <s v="NZ"/>
    <n v="3.9534246575342467"/>
    <n v="2259"/>
  </r>
  <r>
    <s v="Ayog Chakrabarti"/>
    <s v="Female"/>
    <s v="Website"/>
    <n v="33"/>
    <d v="2021-04-27T00:00:00"/>
    <n v="75480"/>
    <x v="1"/>
    <s v="IND"/>
    <n v="3.9506849315068493"/>
    <n v="2265"/>
  </r>
  <r>
    <s v="Camilla Castle"/>
    <s v="Female"/>
    <s v="Website"/>
    <n v="33"/>
    <d v="2021-06-27T00:00:00"/>
    <n v="75480"/>
    <x v="1"/>
    <s v="NZ"/>
    <n v="3.7835616438356166"/>
    <n v="2265"/>
  </r>
  <r>
    <s v="Sameer Shashank Sapra"/>
    <s v="Male"/>
    <s v="HR"/>
    <n v="21"/>
    <d v="2020-12-15T00:00:00"/>
    <n v="75880"/>
    <x v="0"/>
    <s v="IND"/>
    <n v="4.3150684931506849"/>
    <n v="2277"/>
  </r>
  <r>
    <s v="Shari McNee"/>
    <s v="Male"/>
    <s v="HR"/>
    <n v="21"/>
    <d v="2021-02-15T00:00:00"/>
    <n v="75880"/>
    <x v="0"/>
    <s v="NZ"/>
    <n v="4.1452054794520548"/>
    <n v="2277"/>
  </r>
  <r>
    <s v="Indu Varada Sumedh"/>
    <s v="Female"/>
    <s v="Finance"/>
    <n v="28"/>
    <d v="2020-10-20T00:00:00"/>
    <n v="75970"/>
    <x v="0"/>
    <s v="IND"/>
    <n v="4.4684931506849317"/>
    <n v="2280"/>
  </r>
  <r>
    <s v="Beverie Moffet"/>
    <s v="Female"/>
    <s v="Finance"/>
    <n v="28"/>
    <d v="2020-12-20T00:00:00"/>
    <n v="75970"/>
    <x v="0"/>
    <s v="NZ"/>
    <n v="4.3013698630136989"/>
    <n v="2280"/>
  </r>
  <r>
    <s v="Shreela Ramasubraman"/>
    <s v="Female"/>
    <s v="Procurement"/>
    <n v="22"/>
    <d v="2021-07-11T00:00:00"/>
    <n v="76900"/>
    <x v="2"/>
    <s v="IND"/>
    <n v="3.7452054794520548"/>
    <n v="2307"/>
  </r>
  <r>
    <s v="Virginia McConville"/>
    <s v="Female"/>
    <s v="Procurement"/>
    <n v="22"/>
    <d v="2021-09-11T00:00:00"/>
    <n v="76900"/>
    <x v="2"/>
    <s v="NZ"/>
    <n v="3.5753424657534247"/>
    <n v="2307"/>
  </r>
  <r>
    <s v="Rushil Kripa"/>
    <s v="Female"/>
    <s v="Procurement"/>
    <n v="36"/>
    <d v="2021-09-29T00:00:00"/>
    <n v="78390"/>
    <x v="0"/>
    <s v="IND"/>
    <n v="3.526027397260274"/>
    <n v="2352"/>
  </r>
  <r>
    <s v="Allene Gobbet"/>
    <s v="Female"/>
    <s v="Procurement"/>
    <n v="36"/>
    <d v="2021-11-29T00:00:00"/>
    <n v="78390"/>
    <x v="0"/>
    <s v="NZ"/>
    <n v="3.3589041095890413"/>
    <n v="2352"/>
  </r>
  <r>
    <s v="Shulabh Qutub Sundaramoorthy"/>
    <s v="Female"/>
    <s v="Sales"/>
    <n v="36"/>
    <d v="2021-08-25T00:00:00"/>
    <n v="78540"/>
    <x v="0"/>
    <s v="IND"/>
    <n v="3.6219178082191781"/>
    <n v="2357"/>
  </r>
  <r>
    <s v="Gray Seamon"/>
    <s v="Female"/>
    <s v="Sales"/>
    <n v="36"/>
    <d v="2021-10-25T00:00:00"/>
    <n v="78540"/>
    <x v="0"/>
    <s v="NZ"/>
    <n v="3.4547945205479453"/>
    <n v="2357"/>
  </r>
  <r>
    <s v="Udyan Lanka"/>
    <s v="Male"/>
    <s v="Procurement"/>
    <n v="20"/>
    <d v="2022-05-02T00:00:00"/>
    <n v="79570"/>
    <x v="0"/>
    <s v="IND"/>
    <n v="2.9369863013698629"/>
    <n v="1592"/>
  </r>
  <r>
    <s v="Kellsie Waby"/>
    <s v="Male"/>
    <s v="Procurement"/>
    <n v="20"/>
    <d v="2022-07-02T00:00:00"/>
    <n v="79570"/>
    <x v="0"/>
    <s v="NZ"/>
    <n v="2.7698630136986302"/>
    <n v="1592"/>
  </r>
  <r>
    <s v="Bhuvan Pals"/>
    <s v="Female"/>
    <s v="Website"/>
    <n v="25"/>
    <d v="2022-03-13T00:00:00"/>
    <n v="80700"/>
    <x v="2"/>
    <s v="IND"/>
    <n v="3.0739726027397261"/>
    <n v="2421"/>
  </r>
  <r>
    <s v="Van Tuxwell"/>
    <s v="Female"/>
    <s v="Website"/>
    <n v="25"/>
    <d v="2022-05-13T00:00:00"/>
    <n v="80700"/>
    <x v="2"/>
    <s v="NZ"/>
    <n v="2.9068493150684933"/>
    <n v="1614"/>
  </r>
  <r>
    <s v="Kunja Prashanta Vibha"/>
    <s v="Female"/>
    <s v="Website"/>
    <n v="27"/>
    <d v="2022-03-05T00:00:00"/>
    <n v="83750"/>
    <x v="0"/>
    <s v="IND"/>
    <n v="3.095890410958904"/>
    <n v="2513"/>
  </r>
  <r>
    <s v="Agnes Collicott"/>
    <s v="Female"/>
    <s v="Website"/>
    <n v="27"/>
    <d v="2022-05-05T00:00:00"/>
    <n v="83750"/>
    <x v="0"/>
    <s v="NZ"/>
    <n v="2.9287671232876713"/>
    <n v="1675"/>
  </r>
  <r>
    <s v="Tarala Vishaal"/>
    <s v="Female"/>
    <s v="Finance"/>
    <n v="34"/>
    <d v="2021-07-20T00:00:00"/>
    <n v="85000"/>
    <x v="0"/>
    <s v="IND"/>
    <n v="3.7205479452054795"/>
    <n v="2550"/>
  </r>
  <r>
    <s v="Karlen McCaffrey"/>
    <s v="Female"/>
    <s v="Finance"/>
    <n v="34"/>
    <d v="2021-09-20T00:00:00"/>
    <n v="85000"/>
    <x v="0"/>
    <s v="NZ"/>
    <n v="3.5506849315068494"/>
    <n v="2550"/>
  </r>
  <r>
    <s v="Madhumati Gazala Soumitra"/>
    <s v="Female"/>
    <s v="Finance"/>
    <n v="33"/>
    <d v="2022-07-05T00:00:00"/>
    <n v="86570"/>
    <x v="0"/>
    <s v="IND"/>
    <n v="2.7616438356164386"/>
    <n v="1732"/>
  </r>
  <r>
    <s v="Sibyl Dunkirk"/>
    <s v="Female"/>
    <s v="Finance"/>
    <n v="33"/>
    <d v="2022-09-05T00:00:00"/>
    <n v="86570"/>
    <x v="0"/>
    <s v="NZ"/>
    <n v="2.591780821917808"/>
    <n v="1732"/>
  </r>
  <r>
    <s v="Godavari Veena"/>
    <s v="Female"/>
    <s v="Website"/>
    <n v="40"/>
    <d v="2021-03-21T00:00:00"/>
    <n v="87620"/>
    <x v="0"/>
    <s v="IND"/>
    <n v="4.0520547945205481"/>
    <n v="2629"/>
  </r>
  <r>
    <s v="Merrilee Plenty"/>
    <s v="Female"/>
    <s v="Website"/>
    <n v="40"/>
    <d v="2021-05-21T00:00:00"/>
    <n v="87620"/>
    <x v="0"/>
    <s v="NZ"/>
    <n v="3.8849315068493149"/>
    <n v="2629"/>
  </r>
  <r>
    <s v="Gangadutt Ragha"/>
    <s v="Male"/>
    <s v="Website"/>
    <n v="37"/>
    <d v="2021-03-22T00:00:00"/>
    <n v="88050"/>
    <x v="3"/>
    <s v="IND"/>
    <n v="4.0493150684931507"/>
    <n v="2642"/>
  </r>
  <r>
    <s v="Ches Bonnell"/>
    <s v="Male"/>
    <s v="Website"/>
    <n v="37"/>
    <d v="2021-05-22T00:00:00"/>
    <n v="88050"/>
    <x v="3"/>
    <s v="NZ"/>
    <n v="3.882191780821918"/>
    <n v="2642"/>
  </r>
  <r>
    <s v="Karuna Pashupathy"/>
    <s v="Not found"/>
    <s v="Website"/>
    <n v="27"/>
    <d v="2021-01-16T00:00:00"/>
    <n v="90700"/>
    <x v="2"/>
    <s v="IND"/>
    <n v="4.2273972602739729"/>
    <n v="2721"/>
  </r>
  <r>
    <s v="Dennison Crosswaite"/>
    <s v="Not found"/>
    <s v="Website"/>
    <n v="26"/>
    <d v="2021-03-16T00:00:00"/>
    <n v="90700"/>
    <x v="2"/>
    <s v="NZ"/>
    <n v="4.065753424657534"/>
    <n v="2721"/>
  </r>
  <r>
    <s v="Rukma Vinita"/>
    <s v="Not found"/>
    <s v="Website"/>
    <n v="32"/>
    <d v="2022-06-01T00:00:00"/>
    <n v="91310"/>
    <x v="0"/>
    <s v="IND"/>
    <n v="2.8547945205479452"/>
    <n v="1827"/>
  </r>
  <r>
    <s v="Madge McCloughen"/>
    <s v="Not found"/>
    <s v="Website"/>
    <n v="32"/>
    <d v="2022-08-01T00:00:00"/>
    <n v="91310"/>
    <x v="0"/>
    <s v="NZ"/>
    <n v="2.6876712328767125"/>
    <n v="1827"/>
  </r>
  <r>
    <s v="Kamalakshi Mukundan"/>
    <s v="Male"/>
    <s v="Finance"/>
    <n v="27"/>
    <d v="2020-12-09T00:00:00"/>
    <n v="91650"/>
    <x v="2"/>
    <s v="IND"/>
    <n v="4.3315068493150681"/>
    <n v="2750"/>
  </r>
  <r>
    <s v="Enoch Dowrey"/>
    <s v="Male"/>
    <s v="Finance"/>
    <n v="27"/>
    <d v="2021-02-09T00:00:00"/>
    <n v="91650"/>
    <x v="2"/>
    <s v="NZ"/>
    <n v="4.161643835616438"/>
    <n v="2750"/>
  </r>
  <r>
    <s v="Deepit Ranjana"/>
    <s v="Female"/>
    <s v="Finance"/>
    <n v="34"/>
    <d v="2021-07-06T00:00:00"/>
    <n v="92450"/>
    <x v="0"/>
    <s v="IND"/>
    <n v="3.7589041095890412"/>
    <n v="2774"/>
  </r>
  <r>
    <s v="Leilah Yesinin"/>
    <s v="Female"/>
    <s v="Finance"/>
    <n v="34"/>
    <d v="2021-09-06T00:00:00"/>
    <n v="92450"/>
    <x v="0"/>
    <s v="NZ"/>
    <n v="3.5890410958904111"/>
    <n v="2774"/>
  </r>
  <r>
    <s v="Purnendu Vijayarangan"/>
    <s v="Female"/>
    <s v="Sales"/>
    <n v="25"/>
    <d v="2020-11-09T00:00:00"/>
    <n v="92700"/>
    <x v="0"/>
    <s v="IND"/>
    <n v="4.4136986301369863"/>
    <n v="2781"/>
  </r>
  <r>
    <s v="Hinda Label"/>
    <s v="Female"/>
    <s v="Sales"/>
    <n v="25"/>
    <d v="2021-01-09T00:00:00"/>
    <n v="92700"/>
    <x v="0"/>
    <s v="NZ"/>
    <n v="4.2465753424657535"/>
    <n v="2781"/>
  </r>
  <r>
    <s v="Sukhdev Nageshwar"/>
    <s v="Female"/>
    <s v="Website"/>
    <n v="33"/>
    <d v="2020-10-25T00:00:00"/>
    <n v="96140"/>
    <x v="0"/>
    <s v="IND"/>
    <n v="4.4547945205479449"/>
    <n v="2885"/>
  </r>
  <r>
    <s v="Torrance Collier"/>
    <s v="Female"/>
    <s v="Website"/>
    <n v="33"/>
    <d v="2020-12-25T00:00:00"/>
    <n v="96140"/>
    <x v="0"/>
    <s v="NZ"/>
    <n v="4.2876712328767121"/>
    <n v="2885"/>
  </r>
  <r>
    <s v="Mithil Nadkarni"/>
    <s v="Male"/>
    <s v="Finance"/>
    <n v="30"/>
    <d v="2021-12-14T00:00:00"/>
    <n v="96800"/>
    <x v="0"/>
    <s v="IND"/>
    <n v="3.3178082191780822"/>
    <n v="2904"/>
  </r>
  <r>
    <s v="Constantino Espley"/>
    <s v="Male"/>
    <s v="Finance"/>
    <n v="30"/>
    <d v="2022-02-14T00:00:00"/>
    <n v="96800"/>
    <x v="0"/>
    <s v="NZ"/>
    <n v="3.1479452054794521"/>
    <n v="2904"/>
  </r>
  <r>
    <s v="Baruna Ogale"/>
    <s v="Male"/>
    <s v="Procurement"/>
    <n v="40"/>
    <d v="2021-01-08T00:00:00"/>
    <n v="99750"/>
    <x v="0"/>
    <s v="IND"/>
    <n v="4.2493150684931509"/>
    <n v="2993"/>
  </r>
  <r>
    <s v="Simon Kembery"/>
    <s v="Male"/>
    <s v="Procurement"/>
    <n v="40"/>
    <d v="2021-03-08T00:00:00"/>
    <n v="99750"/>
    <x v="0"/>
    <s v="NZ"/>
    <n v="4.087671232876712"/>
    <n v="2993"/>
  </r>
  <r>
    <s v="Vasu Nandin"/>
    <s v="Female"/>
    <s v="Procurement"/>
    <n v="28"/>
    <d v="2022-01-10T00:00:00"/>
    <n v="99970"/>
    <x v="0"/>
    <s v="IND"/>
    <n v="3.2438356164383562"/>
    <n v="3000"/>
  </r>
  <r>
    <s v="Bernie Gorges"/>
    <s v="Female"/>
    <s v="Procurement"/>
    <n v="28"/>
    <d v="2022-03-10T00:00:00"/>
    <n v="99970"/>
    <x v="0"/>
    <s v="NZ"/>
    <n v="3.0821917808219177"/>
    <n v="3000"/>
  </r>
  <r>
    <s v="Amlankusum Rajabhushan"/>
    <s v="Male"/>
    <s v="Website"/>
    <n v="24"/>
    <d v="2022-03-05T00:00:00"/>
    <n v="100420"/>
    <x v="0"/>
    <s v="IND"/>
    <n v="3.095890410958904"/>
    <n v="3013"/>
  </r>
  <r>
    <s v="Collin Jagson"/>
    <s v="Male"/>
    <s v="Website"/>
    <n v="24"/>
    <d v="2022-05-05T00:00:00"/>
    <n v="100420"/>
    <x v="0"/>
    <s v="NZ"/>
    <n v="2.9287671232876713"/>
    <n v="2009"/>
  </r>
  <r>
    <s v="Satyendra Venkatadri"/>
    <s v="Male"/>
    <s v="Procurement"/>
    <n v="31"/>
    <d v="2022-04-12T00:00:00"/>
    <n v="103550"/>
    <x v="0"/>
    <s v="IND"/>
    <n v="2.9917808219178084"/>
    <n v="2071"/>
  </r>
  <r>
    <s v="Dyna Doucette"/>
    <s v="Male"/>
    <s v="Procurement"/>
    <n v="31"/>
    <d v="2022-06-12T00:00:00"/>
    <n v="103550"/>
    <x v="0"/>
    <s v="NZ"/>
    <n v="2.8246575342465752"/>
    <n v="2071"/>
  </r>
  <r>
    <s v="Sartaj Probal"/>
    <s v="Female"/>
    <s v="Procurement"/>
    <n v="28"/>
    <d v="2022-01-29T00:00:00"/>
    <n v="104120"/>
    <x v="0"/>
    <s v="IND"/>
    <n v="3.1917808219178081"/>
    <n v="3124"/>
  </r>
  <r>
    <s v="Cherlyn Barter"/>
    <s v="Female"/>
    <s v="Procurement"/>
    <n v="28"/>
    <d v="2022-03-29T00:00:00"/>
    <n v="104120"/>
    <x v="0"/>
    <s v="NZ"/>
    <n v="3.0301369863013701"/>
    <n v="3124"/>
  </r>
  <r>
    <s v="Manjusri Ruchi"/>
    <s v="Female"/>
    <s v="Website"/>
    <n v="40"/>
    <d v="2021-05-04T00:00:00"/>
    <n v="104410"/>
    <x v="0"/>
    <s v="IND"/>
    <n v="3.9315068493150687"/>
    <n v="3133"/>
  </r>
  <r>
    <s v="Caro Chappel"/>
    <s v="Female"/>
    <s v="Website"/>
    <n v="40"/>
    <d v="2021-07-04T00:00:00"/>
    <n v="104410"/>
    <x v="0"/>
    <s v="NZ"/>
    <n v="3.7643835616438355"/>
    <n v="3133"/>
  </r>
  <r>
    <s v="Shevantilal Muppala"/>
    <s v="Female"/>
    <s v="Procurement"/>
    <n v="28"/>
    <d v="2021-08-17T00:00:00"/>
    <n v="104770"/>
    <x v="0"/>
    <s v="IND"/>
    <n v="3.6438356164383561"/>
    <n v="3144"/>
  </r>
  <r>
    <s v="Janene Hairsine"/>
    <s v="Female"/>
    <s v="Procurement"/>
    <n v="28"/>
    <d v="2021-10-17T00:00:00"/>
    <n v="104770"/>
    <x v="0"/>
    <s v="NZ"/>
    <n v="3.4767123287671233"/>
    <n v="3144"/>
  </r>
  <r>
    <s v="Sahas Sanabhi Shrikant"/>
    <s v="Male"/>
    <s v="Procurement"/>
    <n v="23"/>
    <d v="2021-07-01T00:00:00"/>
    <n v="106460"/>
    <x v="0"/>
    <s v="IND"/>
    <n v="3.7726027397260276"/>
    <n v="3194"/>
  </r>
  <r>
    <s v="Kissiah Maydway"/>
    <s v="Male"/>
    <s v="Procurement"/>
    <n v="23"/>
    <d v="2021-09-01T00:00:00"/>
    <n v="106460"/>
    <x v="0"/>
    <s v="NZ"/>
    <n v="3.6027397260273974"/>
    <n v="3194"/>
  </r>
  <r>
    <s v="Hridaynath Tendulkar"/>
    <s v="Male"/>
    <s v="Website"/>
    <n v="20"/>
    <d v="2021-07-20T00:00:00"/>
    <n v="107700"/>
    <x v="0"/>
    <s v="IND"/>
    <n v="3.7205479452054795"/>
    <n v="3231"/>
  </r>
  <r>
    <s v="Kaine Padly"/>
    <s v="Male"/>
    <s v="Website"/>
    <n v="20"/>
    <d v="2021-09-20T00:00:00"/>
    <n v="107700"/>
    <x v="0"/>
    <s v="NZ"/>
    <n v="3.5506849315068494"/>
    <n v="3231"/>
  </r>
  <r>
    <s v="Sawini Chandan"/>
    <s v="Female"/>
    <s v="Sales"/>
    <n v="38"/>
    <d v="2021-04-30T00:00:00"/>
    <n v="109160"/>
    <x v="4"/>
    <s v="IND"/>
    <n v="3.9424657534246577"/>
    <n v="3275"/>
  </r>
  <r>
    <s v="Rafaelita Blaksland"/>
    <s v="Female"/>
    <s v="Sales"/>
    <n v="38"/>
    <d v="2021-06-30T00:00:00"/>
    <n v="109160"/>
    <x v="4"/>
    <s v="NZ"/>
    <n v="3.7753424657534245"/>
    <n v="3275"/>
  </r>
  <r>
    <s v="Damayanti Thangavadivelu"/>
    <s v="Male"/>
    <s v="Procurement"/>
    <n v="25"/>
    <d v="2022-04-14T00:00:00"/>
    <n v="109190"/>
    <x v="2"/>
    <s v="IND"/>
    <n v="2.9863013698630136"/>
    <n v="2184"/>
  </r>
  <r>
    <s v="Madelene Upcott"/>
    <s v="Male"/>
    <s v="Procurement"/>
    <n v="25"/>
    <d v="2022-06-14T00:00:00"/>
    <n v="109190"/>
    <x v="2"/>
    <s v="NZ"/>
    <n v="2.8191780821917809"/>
    <n v="2184"/>
  </r>
  <r>
    <s v="Narois Motiwala"/>
    <s v="Male"/>
    <s v="Website"/>
    <n v="29"/>
    <d v="2020-10-15T00:00:00"/>
    <n v="112110"/>
    <x v="3"/>
    <s v="IND"/>
    <n v="4.4821917808219176"/>
    <n v="3364"/>
  </r>
  <r>
    <s v="Bev Lashley"/>
    <s v="Male"/>
    <s v="Website"/>
    <n v="29"/>
    <d v="2020-12-15T00:00:00"/>
    <n v="112110"/>
    <x v="3"/>
    <s v="NZ"/>
    <n v="4.3150684931506849"/>
    <n v="3364"/>
  </r>
  <r>
    <s v="Makshi Vinutha"/>
    <s v="Female"/>
    <s v="Procurement"/>
    <n v="30"/>
    <d v="2022-08-27T00:00:00"/>
    <n v="112570"/>
    <x v="0"/>
    <s v="IND"/>
    <n v="2.6164383561643834"/>
    <n v="2252"/>
  </r>
  <r>
    <s v="Halimeda Kuscha"/>
    <s v="Female"/>
    <s v="Procurement"/>
    <n v="30"/>
    <d v="2022-10-27T00:00:00"/>
    <n v="112570"/>
    <x v="0"/>
    <s v="NZ"/>
    <n v="2.4493150684931506"/>
    <n v="2252"/>
  </r>
  <r>
    <s v="Deepali Charan"/>
    <s v="Male"/>
    <s v="Website"/>
    <n v="20"/>
    <d v="2020-10-18T00:00:00"/>
    <n v="112650"/>
    <x v="0"/>
    <s v="IND"/>
    <n v="4.4739726027397264"/>
    <n v="3380"/>
  </r>
  <r>
    <s v="Bandhula Sathyanna"/>
    <s v="Male"/>
    <s v="Procurement"/>
    <n v="34"/>
    <d v="2022-03-22T00:00:00"/>
    <n v="112650"/>
    <x v="0"/>
    <s v="IND"/>
    <n v="3.0493150684931507"/>
    <n v="3380"/>
  </r>
  <r>
    <s v="Mollie Hanway"/>
    <s v="Male"/>
    <s v="Website"/>
    <n v="20"/>
    <d v="2020-12-18T00:00:00"/>
    <n v="112650"/>
    <x v="0"/>
    <s v="NZ"/>
    <n v="4.3068493150684928"/>
    <n v="3380"/>
  </r>
  <r>
    <s v="Krishnakanta Vellanki"/>
    <s v="Male"/>
    <s v="Sales"/>
    <n v="22"/>
    <d v="2021-07-07T00:00:00"/>
    <n v="112780"/>
    <x v="2"/>
    <s v="IND"/>
    <n v="3.7561643835616438"/>
    <n v="3384"/>
  </r>
  <r>
    <s v="Lindy Guillet"/>
    <s v="Male"/>
    <s v="Sales"/>
    <n v="22"/>
    <d v="2021-09-07T00:00:00"/>
    <n v="112780"/>
    <x v="2"/>
    <s v="NZ"/>
    <n v="3.5863013698630137"/>
    <n v="3384"/>
  </r>
  <r>
    <s v="Ilesh Dasgupta"/>
    <s v="Male"/>
    <s v="Procurement"/>
    <n v="27"/>
    <d v="2021-12-17T00:00:00"/>
    <n v="113280"/>
    <x v="1"/>
    <s v="IND"/>
    <n v="3.3095890410958906"/>
    <n v="3399"/>
  </r>
  <r>
    <s v="Mahalia Larcher"/>
    <s v="Male"/>
    <s v="Procurement"/>
    <n v="27"/>
    <d v="2022-02-17T00:00:00"/>
    <n v="113280"/>
    <x v="1"/>
    <s v="NZ"/>
    <n v="3.1397260273972605"/>
    <n v="3399"/>
  </r>
  <r>
    <s v="Sarojini Naueshwara"/>
    <s v="Female"/>
    <s v="Procurement"/>
    <n v="30"/>
    <d v="2022-08-16T00:00:00"/>
    <n v="114180"/>
    <x v="0"/>
    <s v="IND"/>
    <n v="2.6465753424657534"/>
    <n v="2284"/>
  </r>
  <r>
    <s v="Hogan Iles"/>
    <s v="Female"/>
    <s v="Procurement"/>
    <n v="30"/>
    <d v="2022-10-16T00:00:00"/>
    <n v="114180"/>
    <x v="0"/>
    <s v="NZ"/>
    <n v="2.4794520547945207"/>
    <n v="2284"/>
  </r>
  <r>
    <s v="Ramnath Ravuri"/>
    <s v="Female"/>
    <s v="Website"/>
    <n v="44"/>
    <d v="2023-02-28T00:00:00"/>
    <n v="114870"/>
    <x v="0"/>
    <s v="IND"/>
    <n v="2.1095890410958904"/>
    <n v="2298"/>
  </r>
  <r>
    <s v="Wilone O'Kielt"/>
    <s v="Female"/>
    <s v="Website"/>
    <n v="43"/>
    <d v="2023-04-29T00:00:00"/>
    <n v="114870"/>
    <x v="0"/>
    <s v="NZ"/>
    <n v="1.9452054794520548"/>
    <n v="2298"/>
  </r>
  <r>
    <s v="Dhruv Manjunath"/>
    <s v="Female"/>
    <s v="Procurement"/>
    <n v="36"/>
    <d v="2020-07-11T00:00:00"/>
    <n v="114890"/>
    <x v="0"/>
    <s v="IND"/>
    <n v="4.7452054794520544"/>
    <n v="3447"/>
  </r>
  <r>
    <s v="Tracy Renad"/>
    <s v="Female"/>
    <s v="Procurement"/>
    <n v="36"/>
    <d v="2020-09-11T00:00:00"/>
    <n v="114890"/>
    <x v="0"/>
    <s v="NZ"/>
    <n v="4.5753424657534243"/>
    <n v="3447"/>
  </r>
  <r>
    <s v="Sahila Chandrasekhar"/>
    <s v="Not found"/>
    <s v="Finance"/>
    <n v="37"/>
    <d v="2020-09-11T00:00:00"/>
    <n v="115440"/>
    <x v="3"/>
    <s v="IND"/>
    <n v="4.5753424657534243"/>
    <n v="3464"/>
  </r>
  <r>
    <s v="Benny Karolovsky"/>
    <s v="Not found"/>
    <s v="Finance"/>
    <n v="37"/>
    <d v="2020-11-11T00:00:00"/>
    <n v="115440"/>
    <x v="3"/>
    <s v="NZ"/>
    <n v="4.4082191780821915"/>
    <n v="3464"/>
  </r>
  <r>
    <s v="Sarayu Ragunathan"/>
    <s v="Male"/>
    <s v="Procurement"/>
    <n v="33"/>
    <d v="2020-09-29T00:00:00"/>
    <n v="115920"/>
    <x v="0"/>
    <s v="IND"/>
    <n v="4.5260273972602736"/>
    <n v="3478"/>
  </r>
  <r>
    <s v="Roddy Speechley"/>
    <s v="Male"/>
    <s v="Procurement"/>
    <n v="33"/>
    <d v="2020-11-29T00:00:00"/>
    <n v="115920"/>
    <x v="0"/>
    <s v="NZ"/>
    <n v="4.3589041095890408"/>
    <n v="3478"/>
  </r>
  <r>
    <s v="Kaishori Harathi Kateel"/>
    <s v="Female"/>
    <s v="HR"/>
    <n v="37"/>
    <d v="2021-07-12T00:00:00"/>
    <n v="118100"/>
    <x v="0"/>
    <s v="IND"/>
    <n v="3.7424657534246575"/>
    <n v="3543"/>
  </r>
  <r>
    <s v="Valentia Etteridge"/>
    <s v="Female"/>
    <s v="HR"/>
    <n v="37"/>
    <d v="2021-09-12T00:00:00"/>
    <n v="118100"/>
    <x v="0"/>
    <s v="NZ"/>
    <n v="3.5726027397260274"/>
    <n v="3543"/>
  </r>
  <r>
    <s v="Heer Pennathur"/>
    <s v="Male"/>
    <s v="Website"/>
    <n v="36"/>
    <d v="2020-05-07T00:00:00"/>
    <n v="118840"/>
    <x v="0"/>
    <s v="IND"/>
    <n v="4.9232876712328766"/>
    <n v="3566"/>
  </r>
  <r>
    <s v="Tawnya Tickel"/>
    <s v="Male"/>
    <s v="Website"/>
    <n v="36"/>
    <d v="2020-07-07T00:00:00"/>
    <n v="118840"/>
    <x v="0"/>
    <s v="NZ"/>
    <n v="4.7561643835616438"/>
    <n v="3566"/>
  </r>
  <r>
    <s v="Anjushri Chandiramani"/>
    <s v="Female"/>
    <s v="HR"/>
    <n v="27"/>
    <d v="2020-08-18T00:00:00"/>
    <n v="119110"/>
    <x v="0"/>
    <s v="IND"/>
    <n v="4.6410958904109592"/>
    <n v="3574"/>
  </r>
  <r>
    <s v="Ewart Laphorn"/>
    <s v="Female"/>
    <s v="HR"/>
    <n v="27"/>
    <d v="2020-10-18T00:00:00"/>
    <n v="119110"/>
    <x v="0"/>
    <s v="NZ"/>
    <n v="4.4739726027397264"/>
    <n v="35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3">
  <r>
    <s v="Deepali Charan"/>
    <x v="0"/>
    <s v="Website"/>
    <n v="20"/>
    <d v="2020-10-18T00:00:00"/>
    <n v="112650"/>
    <s v="Average"/>
    <x v="0"/>
    <n v="4.47397260273973"/>
  </r>
  <r>
    <s v="Yagna Sujeev"/>
    <x v="1"/>
    <s v="Website"/>
    <n v="32"/>
    <d v="2021-04-07T00:00:00"/>
    <n v="43840"/>
    <s v="Above average"/>
    <x v="0"/>
    <n v="4.0054794520548"/>
  </r>
  <r>
    <s v="Satyendra Venkatadri"/>
    <x v="0"/>
    <s v="Procurement"/>
    <n v="31"/>
    <d v="2022-04-12T00:00:00"/>
    <n v="103550"/>
    <s v="Average"/>
    <x v="0"/>
    <n v="2.99178082191781"/>
  </r>
  <r>
    <s v="Madhavdas Buhpathi"/>
    <x v="1"/>
    <s v="HR"/>
    <n v="32"/>
    <d v="2021-05-23T00:00:00"/>
    <n v="45510"/>
    <s v="Average"/>
    <x v="0"/>
    <n v="3.87945205479452"/>
  </r>
  <r>
    <s v="Sahila Chandrasekhar"/>
    <x v="2"/>
    <s v="Finance"/>
    <n v="37"/>
    <d v="2020-09-11T00:00:00"/>
    <n v="115440"/>
    <s v="Poor"/>
    <x v="0"/>
    <n v="4.57534246575342"/>
  </r>
  <r>
    <s v="Mirium Seemantini Shivakumar"/>
    <x v="1"/>
    <s v="Sales"/>
    <n v="38"/>
    <d v="2021-03-13T00:00:00"/>
    <n v="56870"/>
    <s v="Above average"/>
    <x v="0"/>
    <n v="4.07397260273973"/>
  </r>
  <r>
    <s v="Purnendu Vijayarangan"/>
    <x v="1"/>
    <s v="Sales"/>
    <n v="25"/>
    <d v="2020-11-09T00:00:00"/>
    <n v="92700"/>
    <s v="Average"/>
    <x v="0"/>
    <n v="4.41369863013699"/>
  </r>
  <r>
    <s v="Rukma Vinita"/>
    <x v="2"/>
    <s v="Website"/>
    <n v="32"/>
    <d v="2022-06-01T00:00:00"/>
    <n v="91310"/>
    <s v="Average"/>
    <x v="0"/>
    <n v="2.85479452054795"/>
  </r>
  <r>
    <s v="Yauvani Tarpa"/>
    <x v="0"/>
    <s v="Sales"/>
    <n v="33"/>
    <d v="2021-05-08T00:00:00"/>
    <n v="74550"/>
    <s v="Average"/>
    <x v="0"/>
    <n v="3.92054794520548"/>
  </r>
  <r>
    <s v="Damayanti Thangavadivelu"/>
    <x v="0"/>
    <s v="Procurement"/>
    <n v="25"/>
    <d v="2022-04-14T00:00:00"/>
    <n v="109190"/>
    <s v="Above average"/>
    <x v="0"/>
    <n v="2.98630136986301"/>
  </r>
  <r>
    <s v="Manjusri Ruchi"/>
    <x v="1"/>
    <s v="Website"/>
    <n v="40"/>
    <d v="2021-05-04T00:00:00"/>
    <n v="104410"/>
    <s v="Average"/>
    <x v="0"/>
    <n v="3.93150684931507"/>
  </r>
  <r>
    <s v="Mithil Nadkarni"/>
    <x v="0"/>
    <s v="Finance"/>
    <n v="30"/>
    <d v="2021-12-14T00:00:00"/>
    <n v="96800"/>
    <s v="Average"/>
    <x v="0"/>
    <n v="3.31780821917808"/>
  </r>
  <r>
    <s v="Ardhendu Abhichandra Jayakar"/>
    <x v="0"/>
    <s v="Finance"/>
    <n v="28"/>
    <d v="2020-05-29T00:00:00"/>
    <n v="48170"/>
    <s v="Above average"/>
    <x v="0"/>
    <n v="4.86301369863014"/>
  </r>
  <r>
    <s v="Akbar Sorabhjee"/>
    <x v="0"/>
    <s v="Procurement"/>
    <n v="21"/>
    <d v="2020-07-30T00:00:00"/>
    <n v="37920"/>
    <s v="Average"/>
    <x v="0"/>
    <n v="4.69315068493151"/>
  </r>
  <r>
    <s v="Bandhula Sathyanna"/>
    <x v="0"/>
    <s v="Procurement"/>
    <n v="34"/>
    <d v="2022-03-22T00:00:00"/>
    <n v="112650"/>
    <s v="Average"/>
    <x v="0"/>
    <n v="3.04931506849315"/>
  </r>
  <r>
    <s v="Daruka Ghazali"/>
    <x v="1"/>
    <s v="Sales"/>
    <n v="34"/>
    <d v="2022-04-09T00:00:00"/>
    <n v="49630"/>
    <s v="Poor"/>
    <x v="0"/>
    <n v="3"/>
  </r>
  <r>
    <s v="Heer Pennathur"/>
    <x v="0"/>
    <s v="Website"/>
    <n v="36"/>
    <d v="2020-05-07T00:00:00"/>
    <n v="118840"/>
    <s v="Average"/>
    <x v="0"/>
    <n v="4.92328767123288"/>
  </r>
  <r>
    <s v="Shekhar Eswara"/>
    <x v="0"/>
    <s v="Website"/>
    <n v="30"/>
    <d v="2022-08-16T00:00:00"/>
    <n v="69710"/>
    <s v="Average"/>
    <x v="0"/>
    <n v="2.64657534246575"/>
  </r>
  <r>
    <s v="Udyan Lanka"/>
    <x v="0"/>
    <s v="Procurement"/>
    <n v="20"/>
    <d v="2022-05-02T00:00:00"/>
    <n v="79570"/>
    <s v="Average"/>
    <x v="0"/>
    <n v="2.93698630136986"/>
  </r>
  <r>
    <s v="Shreela Ramasubraman"/>
    <x v="1"/>
    <s v="Procurement"/>
    <n v="22"/>
    <d v="2021-07-11T00:00:00"/>
    <n v="76900"/>
    <s v="Above average"/>
    <x v="0"/>
    <n v="3.74520547945206"/>
  </r>
  <r>
    <s v="Sanchali Shirish"/>
    <x v="0"/>
    <s v="Sales"/>
    <n v="27"/>
    <d v="2020-08-30T00:00:00"/>
    <n v="54970"/>
    <s v="Average"/>
    <x v="0"/>
    <n v="4.60821917808219"/>
  </r>
  <r>
    <s v="Gangadutt Ragha"/>
    <x v="0"/>
    <s v="Website"/>
    <n v="37"/>
    <d v="2021-03-22T00:00:00"/>
    <n v="88050"/>
    <s v="Poor"/>
    <x v="0"/>
    <n v="4.04931506849315"/>
  </r>
  <r>
    <s v="Waheeda Vasuman"/>
    <x v="0"/>
    <s v="Sales"/>
    <n v="43"/>
    <d v="2021-12-28T00:00:00"/>
    <n v="36040"/>
    <s v="Average"/>
    <x v="0"/>
    <n v="3.27945205479452"/>
  </r>
  <r>
    <s v="Nanak Sapna"/>
    <x v="1"/>
    <s v="Procurement"/>
    <n v="42"/>
    <d v="2022-06-06T00:00:00"/>
    <n v="75000"/>
    <s v="Exceptional"/>
    <x v="0"/>
    <n v="2.84109589041096"/>
  </r>
  <r>
    <s v="Shobhana Samuel"/>
    <x v="0"/>
    <s v="Procurement"/>
    <n v="35"/>
    <d v="2022-04-15T00:00:00"/>
    <n v="40400"/>
    <s v="Average"/>
    <x v="0"/>
    <n v="2.98356164383562"/>
  </r>
  <r>
    <s v="Amlankusum Rajabhushan"/>
    <x v="0"/>
    <s v="Website"/>
    <n v="24"/>
    <d v="2022-03-05T00:00:00"/>
    <n v="100420"/>
    <s v="Average"/>
    <x v="0"/>
    <n v="3.0958904109589"/>
  </r>
  <r>
    <s v="Pratigya Rema"/>
    <x v="1"/>
    <s v="Website"/>
    <n v="31"/>
    <d v="2022-02-12T00:00:00"/>
    <n v="58100"/>
    <s v="Average"/>
    <x v="0"/>
    <n v="3.15342465753425"/>
  </r>
  <r>
    <s v="Ramnath Ravuri"/>
    <x v="1"/>
    <s v="Website"/>
    <n v="44"/>
    <d v="2023-02-28T00:00:00"/>
    <n v="114870"/>
    <s v="Average"/>
    <x v="0"/>
    <n v="2.10958904109589"/>
  </r>
  <r>
    <s v="Prerana Nishita"/>
    <x v="1"/>
    <s v="Procurement"/>
    <n v="32"/>
    <d v="2021-12-19T00:00:00"/>
    <n v="41570"/>
    <s v="Average"/>
    <x v="0"/>
    <n v="3.3041095890411"/>
  </r>
  <r>
    <s v="Makshi Vinutha"/>
    <x v="1"/>
    <s v="Procurement"/>
    <n v="30"/>
    <d v="2022-08-27T00:00:00"/>
    <n v="112570"/>
    <s v="Average"/>
    <x v="0"/>
    <n v="2.61643835616438"/>
  </r>
  <r>
    <s v="Shiuli Sapna"/>
    <x v="0"/>
    <s v="Procurement"/>
    <n v="26"/>
    <d v="2020-11-29T00:00:00"/>
    <n v="47360"/>
    <s v="Average"/>
    <x v="0"/>
    <n v="4.35890410958904"/>
  </r>
  <r>
    <s v="Agrata Rajarama"/>
    <x v="1"/>
    <s v="Finance"/>
    <n v="21"/>
    <d v="2021-03-01T00:00:00"/>
    <n v="65920"/>
    <s v="Average"/>
    <x v="0"/>
    <n v="4.10684931506849"/>
  </r>
  <r>
    <s v="Vasu Nandin"/>
    <x v="1"/>
    <s v="Procurement"/>
    <n v="28"/>
    <d v="2022-01-10T00:00:00"/>
    <n v="99970"/>
    <s v="Average"/>
    <x v="0"/>
    <n v="3.24383561643836"/>
  </r>
  <r>
    <s v="Bhuvan Pals"/>
    <x v="1"/>
    <s v="Website"/>
    <n v="25"/>
    <d v="2022-03-13T00:00:00"/>
    <n v="80700"/>
    <s v="Above average"/>
    <x v="0"/>
    <n v="3.07397260273973"/>
  </r>
  <r>
    <s v="Gumwant Veera"/>
    <x v="0"/>
    <s v="Finance"/>
    <n v="24"/>
    <d v="2021-06-28T00:00:00"/>
    <n v="52610"/>
    <s v="Poor"/>
    <x v="0"/>
    <n v="3.78082191780822"/>
  </r>
  <r>
    <s v="Narois Motiwala"/>
    <x v="0"/>
    <s v="Website"/>
    <n v="29"/>
    <d v="2020-10-15T00:00:00"/>
    <n v="112110"/>
    <s v="Poor"/>
    <x v="0"/>
    <n v="4.48219178082192"/>
  </r>
  <r>
    <s v="Anjushri Chandiramani"/>
    <x v="1"/>
    <s v="HR"/>
    <n v="27"/>
    <d v="2020-08-18T00:00:00"/>
    <n v="119110"/>
    <s v="Average"/>
    <x v="0"/>
    <n v="4.64109589041096"/>
  </r>
  <r>
    <s v="Krishnakanta Vellanki"/>
    <x v="0"/>
    <s v="Sales"/>
    <n v="22"/>
    <d v="2021-07-07T00:00:00"/>
    <n v="112780"/>
    <s v="Above average"/>
    <x v="0"/>
    <n v="3.75616438356164"/>
  </r>
  <r>
    <s v="Dhruv Manjunath"/>
    <x v="1"/>
    <s v="Procurement"/>
    <n v="36"/>
    <d v="2020-07-11T00:00:00"/>
    <n v="114890"/>
    <s v="Average"/>
    <x v="0"/>
    <n v="4.74520547945205"/>
  </r>
  <r>
    <s v="Vanmala Shriharsha"/>
    <x v="0"/>
    <s v="Finance"/>
    <n v="27"/>
    <d v="2021-11-06T00:00:00"/>
    <n v="48980"/>
    <s v="Average"/>
    <x v="0"/>
    <n v="3.42191780821918"/>
  </r>
  <r>
    <s v="Sameer Shashank Sapra"/>
    <x v="0"/>
    <s v="HR"/>
    <n v="21"/>
    <d v="2020-12-15T00:00:00"/>
    <n v="75880"/>
    <s v="Average"/>
    <x v="0"/>
    <n v="4.31506849315069"/>
  </r>
  <r>
    <s v="Anumati Shyamari Meherhomji"/>
    <x v="1"/>
    <s v="Sales"/>
    <n v="28"/>
    <d v="2021-04-10T00:00:00"/>
    <n v="53240"/>
    <s v="Average"/>
    <x v="0"/>
    <n v="3.9972602739726"/>
  </r>
  <r>
    <s v="Tarala Vishaal"/>
    <x v="1"/>
    <s v="Finance"/>
    <n v="34"/>
    <d v="2021-07-20T00:00:00"/>
    <n v="85000"/>
    <s v="Average"/>
    <x v="0"/>
    <n v="3.72054794520548"/>
  </r>
  <r>
    <s v="Shubhra Potla"/>
    <x v="1"/>
    <s v="Website"/>
    <n v="21"/>
    <d v="2022-02-27T00:00:00"/>
    <n v="33920"/>
    <s v="Average"/>
    <x v="0"/>
    <n v="3.11232876712329"/>
  </r>
  <r>
    <s v="Hemavati Muthiah"/>
    <x v="1"/>
    <s v="Website"/>
    <n v="33"/>
    <d v="2021-02-26T00:00:00"/>
    <n v="75280"/>
    <s v="Average"/>
    <x v="0"/>
    <n v="4.11506849315068"/>
  </r>
  <r>
    <s v="Krittika Gaekwad"/>
    <x v="1"/>
    <s v="Finance"/>
    <n v="34"/>
    <d v="2022-02-02T00:00:00"/>
    <n v="58940"/>
    <s v="Average"/>
    <x v="0"/>
    <n v="3.18082191780822"/>
  </r>
  <r>
    <s v="Shevantilal Muppala"/>
    <x v="1"/>
    <s v="Procurement"/>
    <n v="28"/>
    <d v="2021-08-17T00:00:00"/>
    <n v="104770"/>
    <s v="Average"/>
    <x v="0"/>
    <n v="3.64383561643836"/>
  </r>
  <r>
    <s v="Shattesh Utpat"/>
    <x v="0"/>
    <s v="Procurement"/>
    <n v="21"/>
    <d v="2022-05-20T00:00:00"/>
    <n v="57090"/>
    <s v="Average"/>
    <x v="0"/>
    <n v="2.88767123287671"/>
  </r>
  <r>
    <s v="Kamalakshi Mukundan"/>
    <x v="0"/>
    <s v="Finance"/>
    <n v="27"/>
    <d v="2020-12-09T00:00:00"/>
    <n v="91650"/>
    <s v="Above average"/>
    <x v="0"/>
    <n v="4.33150684931507"/>
  </r>
  <r>
    <s v="Chandana Sannidhi Surnilla"/>
    <x v="0"/>
    <s v="Finance"/>
    <n v="42"/>
    <d v="2022-04-19T00:00:00"/>
    <n v="70270"/>
    <s v="Poor"/>
    <x v="0"/>
    <n v="2.97260273972603"/>
  </r>
  <r>
    <s v="Indu Varada Sumedh"/>
    <x v="1"/>
    <s v="Finance"/>
    <n v="28"/>
    <d v="2020-10-20T00:00:00"/>
    <n v="75970"/>
    <s v="Average"/>
    <x v="0"/>
    <n v="4.46849315068493"/>
  </r>
  <r>
    <s v="Karuna Pashupathy"/>
    <x v="2"/>
    <s v="Website"/>
    <n v="27"/>
    <d v="2021-01-16T00:00:00"/>
    <n v="90700"/>
    <s v="Above average"/>
    <x v="0"/>
    <n v="4.22739726027397"/>
  </r>
  <r>
    <s v="Mardav Ramaswami"/>
    <x v="0"/>
    <s v="Procurement"/>
    <n v="30"/>
    <d v="2022-02-15T00:00:00"/>
    <n v="60570"/>
    <s v="Average"/>
    <x v="0"/>
    <n v="3.14520547945206"/>
  </r>
  <r>
    <s v="Sarayu Ragunathan"/>
    <x v="0"/>
    <s v="Procurement"/>
    <n v="33"/>
    <d v="2020-09-29T00:00:00"/>
    <n v="115920"/>
    <s v="Average"/>
    <x v="0"/>
    <n v="4.52602739726027"/>
  </r>
  <r>
    <s v="Kevalkumar Solanki"/>
    <x v="1"/>
    <s v="Finance"/>
    <n v="33"/>
    <d v="2020-06-24T00:00:00"/>
    <n v="65360"/>
    <s v="Average"/>
    <x v="0"/>
    <n v="4.79178082191781"/>
  </r>
  <r>
    <s v="Upendra Swati"/>
    <x v="2"/>
    <s v="Finance"/>
    <n v="30"/>
    <d v="2021-12-05T00:00:00"/>
    <n v="64000"/>
    <s v="Average"/>
    <x v="0"/>
    <n v="3.34246575342466"/>
  </r>
  <r>
    <s v="Deepit Ranjana"/>
    <x v="1"/>
    <s v="Finance"/>
    <n v="34"/>
    <d v="2021-07-06T00:00:00"/>
    <n v="92450"/>
    <s v="Average"/>
    <x v="0"/>
    <n v="3.75890410958904"/>
  </r>
  <r>
    <s v="Amal Nimesh"/>
    <x v="0"/>
    <s v="Website"/>
    <n v="31"/>
    <d v="2021-09-11T00:00:00"/>
    <n v="48950"/>
    <s v="Average"/>
    <x v="0"/>
    <n v="3.57534246575343"/>
  </r>
  <r>
    <s v="Kunja Prashanta Vibha"/>
    <x v="1"/>
    <s v="Website"/>
    <n v="27"/>
    <d v="2022-03-05T00:00:00"/>
    <n v="83750"/>
    <s v="Average"/>
    <x v="0"/>
    <n v="3.0958904109589"/>
  </r>
  <r>
    <s v="Godavari Veena"/>
    <x v="1"/>
    <s v="Website"/>
    <n v="40"/>
    <d v="2021-03-21T00:00:00"/>
    <n v="87620"/>
    <s v="Average"/>
    <x v="0"/>
    <n v="4.05205479452055"/>
  </r>
  <r>
    <s v="Devasree Fullara Saurin"/>
    <x v="1"/>
    <s v="Sales"/>
    <n v="20"/>
    <d v="2021-10-07T00:00:00"/>
    <n v="68900"/>
    <s v="Poor"/>
    <x v="0"/>
    <n v="3.5041095890411"/>
  </r>
  <r>
    <s v="Geena Raghavanpillai"/>
    <x v="0"/>
    <s v="Sales"/>
    <n v="32"/>
    <d v="2021-07-26T00:00:00"/>
    <n v="53540"/>
    <s v="Average"/>
    <x v="0"/>
    <n v="3.7041095890411"/>
  </r>
  <r>
    <s v="Rupak Mehra"/>
    <x v="0"/>
    <s v="Sales"/>
    <n v="28"/>
    <d v="2022-07-16T00:00:00"/>
    <n v="43510"/>
    <s v="Very poor"/>
    <x v="0"/>
    <n v="2.73150684931507"/>
  </r>
  <r>
    <s v="Sawini Chandan"/>
    <x v="1"/>
    <s v="Sales"/>
    <n v="38"/>
    <d v="2021-04-30T00:00:00"/>
    <n v="109160"/>
    <s v="Exceptional"/>
    <x v="0"/>
    <n v="3.94246575342466"/>
  </r>
  <r>
    <s v="Baruna Ogale"/>
    <x v="0"/>
    <s v="Procurement"/>
    <n v="40"/>
    <d v="2021-01-08T00:00:00"/>
    <n v="99750"/>
    <s v="Average"/>
    <x v="0"/>
    <n v="4.24931506849315"/>
  </r>
  <r>
    <s v="Jagajeet Viraj"/>
    <x v="1"/>
    <s v="Website"/>
    <n v="31"/>
    <d v="2020-09-10T00:00:00"/>
    <n v="41980"/>
    <s v="Average"/>
    <x v="0"/>
    <n v="4.57808219178082"/>
  </r>
  <r>
    <s v="Kulbhushan Moorthy"/>
    <x v="0"/>
    <s v="Finance"/>
    <n v="36"/>
    <d v="2021-03-17T00:00:00"/>
    <n v="71380"/>
    <s v="Average"/>
    <x v="0"/>
    <n v="4.06301369863014"/>
  </r>
  <r>
    <s v="Ilesh Dasgupta"/>
    <x v="0"/>
    <s v="Procurement"/>
    <n v="27"/>
    <d v="2021-12-17T00:00:00"/>
    <n v="113280"/>
    <s v="Very poor"/>
    <x v="0"/>
    <n v="3.30958904109589"/>
  </r>
  <r>
    <s v="Madhumati Gazala Soumitra"/>
    <x v="1"/>
    <s v="Finance"/>
    <n v="33"/>
    <d v="2022-07-05T00:00:00"/>
    <n v="86570"/>
    <s v="Average"/>
    <x v="0"/>
    <n v="2.76164383561644"/>
  </r>
  <r>
    <s v="Chitrasen Laul"/>
    <x v="0"/>
    <s v="Procurement"/>
    <n v="26"/>
    <d v="2021-06-03T00:00:00"/>
    <n v="53540"/>
    <s v="Average"/>
    <x v="0"/>
    <n v="3.84931506849315"/>
  </r>
  <r>
    <s v="Jaishree Atasi Yavatkar"/>
    <x v="0"/>
    <s v="Website"/>
    <n v="37"/>
    <d v="2022-03-20T00:00:00"/>
    <n v="69070"/>
    <s v="Average"/>
    <x v="0"/>
    <n v="3.05479452054795"/>
  </r>
  <r>
    <s v="Kantimoy Pritish"/>
    <x v="1"/>
    <s v="Finance"/>
    <n v="30"/>
    <d v="2021-05-12T00:00:00"/>
    <n v="67910"/>
    <s v="Poor"/>
    <x v="0"/>
    <n v="3.90958904109589"/>
  </r>
  <r>
    <s v="Rameshwari Chikodi"/>
    <x v="0"/>
    <s v="Website"/>
    <n v="30"/>
    <d v="2021-01-18T00:00:00"/>
    <n v="69120"/>
    <s v="Average"/>
    <x v="0"/>
    <n v="4.22191780821918"/>
  </r>
  <r>
    <s v="Lalit Kothari"/>
    <x v="1"/>
    <s v="Finance"/>
    <n v="34"/>
    <d v="2021-12-20T00:00:00"/>
    <n v="60130"/>
    <s v="Average"/>
    <x v="0"/>
    <n v="3.3013698630137"/>
  </r>
  <r>
    <s v="Sahas Sanabhi Shrikant"/>
    <x v="0"/>
    <s v="Procurement"/>
    <n v="23"/>
    <d v="2021-07-01T00:00:00"/>
    <n v="106460"/>
    <s v="Average"/>
    <x v="0"/>
    <n v="3.77260273972603"/>
  </r>
  <r>
    <s v="Kaishori Harathi Kateel"/>
    <x v="1"/>
    <s v="HR"/>
    <n v="37"/>
    <d v="2021-07-12T00:00:00"/>
    <n v="118100"/>
    <s v="Average"/>
    <x v="0"/>
    <n v="3.74246575342466"/>
  </r>
  <r>
    <s v="Rushil Kripa"/>
    <x v="1"/>
    <s v="Procurement"/>
    <n v="36"/>
    <d v="2021-09-29T00:00:00"/>
    <n v="78390"/>
    <s v="Average"/>
    <x v="0"/>
    <n v="3.52602739726027"/>
  </r>
  <r>
    <s v="Sarojini Naueshwara"/>
    <x v="1"/>
    <s v="Procurement"/>
    <n v="30"/>
    <d v="2022-08-16T00:00:00"/>
    <n v="114180"/>
    <s v="Average"/>
    <x v="0"/>
    <n v="2.64657534246575"/>
  </r>
  <r>
    <s v="Sartaj Probal"/>
    <x v="1"/>
    <s v="Procurement"/>
    <n v="28"/>
    <d v="2022-01-29T00:00:00"/>
    <n v="104120"/>
    <s v="Average"/>
    <x v="0"/>
    <n v="3.19178082191781"/>
  </r>
  <r>
    <s v="Mahindra Sreedharan"/>
    <x v="0"/>
    <s v="Procurement"/>
    <n v="30"/>
    <d v="2022-03-20T00:00:00"/>
    <n v="67950"/>
    <s v="Average"/>
    <x v="0"/>
    <n v="3.05479452054795"/>
  </r>
  <r>
    <s v="Suchira Bhanupriya Tapti"/>
    <x v="1"/>
    <s v="Website"/>
    <n v="29"/>
    <d v="2020-05-11T00:00:00"/>
    <n v="34980"/>
    <s v="Average"/>
    <x v="0"/>
    <n v="4.91232876712329"/>
  </r>
  <r>
    <s v="Fullara Sushanti Mokate"/>
    <x v="1"/>
    <s v="Website"/>
    <n v="24"/>
    <d v="2020-09-13T00:00:00"/>
    <n v="62780"/>
    <s v="Average"/>
    <x v="0"/>
    <n v="4.56986301369863"/>
  </r>
  <r>
    <s v="Hridaynath Tendulkar"/>
    <x v="0"/>
    <s v="Website"/>
    <n v="20"/>
    <d v="2021-07-20T00:00:00"/>
    <n v="107700"/>
    <s v="Average"/>
    <x v="0"/>
    <n v="3.72054794520548"/>
  </r>
  <r>
    <s v="Abhaya Priyavardhan"/>
    <x v="0"/>
    <s v="Sales"/>
    <n v="25"/>
    <d v="2021-05-06T00:00:00"/>
    <n v="65700"/>
    <s v="Average"/>
    <x v="0"/>
    <n v="3.92602739726027"/>
  </r>
  <r>
    <s v="Ayog Chakrabarti"/>
    <x v="1"/>
    <s v="Website"/>
    <n v="33"/>
    <d v="2021-04-27T00:00:00"/>
    <n v="75480"/>
    <s v="Very poor"/>
    <x v="0"/>
    <n v="3.95068493150685"/>
  </r>
  <r>
    <s v="Pragya Nilufar"/>
    <x v="0"/>
    <s v="Website"/>
    <n v="33"/>
    <d v="2021-09-09T00:00:00"/>
    <n v="53870"/>
    <s v="Average"/>
    <x v="0"/>
    <n v="3.58082191780822"/>
  </r>
  <r>
    <s v="Shulabh Qutub Sundaramoorthy"/>
    <x v="1"/>
    <s v="Sales"/>
    <n v="36"/>
    <d v="2021-08-25T00:00:00"/>
    <n v="78540"/>
    <s v="Average"/>
    <x v="0"/>
    <n v="3.62191780821918"/>
  </r>
  <r>
    <s v="Vinanti Choudhari"/>
    <x v="0"/>
    <s v="Procurement"/>
    <n v="19"/>
    <d v="2021-01-22T00:00:00"/>
    <n v="58960"/>
    <s v="Average"/>
    <x v="0"/>
    <n v="4.21095890410959"/>
  </r>
  <r>
    <s v="Ranajay Kailashnath Richa"/>
    <x v="0"/>
    <s v="Procurement"/>
    <n v="46"/>
    <d v="2022-05-16T00:00:00"/>
    <n v="70610"/>
    <s v="Average"/>
    <x v="0"/>
    <n v="2.8986301369863"/>
  </r>
  <r>
    <s v="Asija Pothireddy"/>
    <x v="0"/>
    <s v="Finance"/>
    <n v="33"/>
    <d v="2020-12-16T00:00:00"/>
    <n v="59430"/>
    <s v="Average"/>
    <x v="0"/>
    <n v="4.31232876712329"/>
  </r>
  <r>
    <s v="Piyali Mahanthapa"/>
    <x v="0"/>
    <s v="Procurement"/>
    <n v="33"/>
    <d v="2022-03-20T00:00:00"/>
    <n v="48530"/>
    <s v="Above average"/>
    <x v="0"/>
    <n v="3.05479452054795"/>
  </r>
  <r>
    <s v="Sukhdev Nageshwar"/>
    <x v="1"/>
    <s v="Website"/>
    <n v="33"/>
    <d v="2020-10-25T00:00:00"/>
    <n v="96140"/>
    <s v="Average"/>
    <x v="0"/>
    <n v="4.45479452054795"/>
  </r>
  <r>
    <s v="Lindy Guillet"/>
    <x v="0"/>
    <s v="Sales"/>
    <n v="22"/>
    <d v="2021-09-07T00:00:00"/>
    <n v="112780"/>
    <s v="Above average"/>
    <x v="1"/>
    <n v="3.58630136986301"/>
  </r>
  <r>
    <s v="Ambros Murthwaite"/>
    <x v="0"/>
    <s v="Procurement"/>
    <n v="46"/>
    <d v="2022-07-16T00:00:00"/>
    <n v="70610"/>
    <s v="Average"/>
    <x v="1"/>
    <n v="2.73150684931507"/>
  </r>
  <r>
    <s v="Tatum Hush"/>
    <x v="1"/>
    <s v="Sales"/>
    <n v="28"/>
    <d v="2021-06-10T00:00:00"/>
    <n v="53240"/>
    <s v="Average"/>
    <x v="1"/>
    <n v="3.83013698630137"/>
  </r>
  <r>
    <s v="Benny Karolovsky"/>
    <x v="2"/>
    <s v="Finance"/>
    <n v="37"/>
    <d v="2020-11-11T00:00:00"/>
    <n v="115440"/>
    <s v="Poor"/>
    <x v="1"/>
    <n v="4.40821917808219"/>
  </r>
  <r>
    <s v="Hoyt D'Alesco"/>
    <x v="0"/>
    <s v="Sales"/>
    <n v="32"/>
    <d v="2021-09-26T00:00:00"/>
    <n v="53540"/>
    <s v="Average"/>
    <x v="1"/>
    <n v="3.53424657534247"/>
  </r>
  <r>
    <s v="Halimeda Kuscha"/>
    <x v="1"/>
    <s v="Procurement"/>
    <n v="30"/>
    <d v="2022-10-27T00:00:00"/>
    <n v="112570"/>
    <s v="Average"/>
    <x v="1"/>
    <n v="2.44931506849315"/>
  </r>
  <r>
    <s v="Erin Androsik"/>
    <x v="0"/>
    <s v="Procurement"/>
    <n v="33"/>
    <d v="2022-05-20T00:00:00"/>
    <n v="48530"/>
    <s v="Above average"/>
    <x v="1"/>
    <n v="2.88767123287671"/>
  </r>
  <r>
    <s v="Vic Radolf"/>
    <x v="1"/>
    <s v="Website"/>
    <n v="24"/>
    <d v="2020-11-13T00:00:00"/>
    <n v="62780"/>
    <s v="Average"/>
    <x v="1"/>
    <n v="4.4027397260274"/>
  </r>
  <r>
    <s v="William Reeveley"/>
    <x v="0"/>
    <s v="Website"/>
    <n v="33"/>
    <d v="2021-11-09T00:00:00"/>
    <n v="53870"/>
    <s v="Average"/>
    <x v="1"/>
    <n v="3.41369863013699"/>
  </r>
  <r>
    <s v="Ewart Laphorn"/>
    <x v="1"/>
    <s v="HR"/>
    <n v="27"/>
    <d v="2020-10-18T00:00:00"/>
    <n v="119110"/>
    <s v="Average"/>
    <x v="1"/>
    <n v="4.47397260273973"/>
  </r>
  <r>
    <s v="Bev Lashley"/>
    <x v="0"/>
    <s v="Website"/>
    <n v="29"/>
    <d v="2020-12-15T00:00:00"/>
    <n v="112110"/>
    <s v="Poor"/>
    <x v="1"/>
    <n v="4.31506849315069"/>
  </r>
  <r>
    <s v="Kath Bletsoe"/>
    <x v="0"/>
    <s v="Sales"/>
    <n v="25"/>
    <d v="2021-07-06T00:00:00"/>
    <n v="65700"/>
    <s v="Average"/>
    <x v="1"/>
    <n v="3.75890410958904"/>
  </r>
  <r>
    <s v="Murry Dryburgh"/>
    <x v="0"/>
    <s v="Website"/>
    <n v="37"/>
    <d v="2022-05-20T00:00:00"/>
    <n v="69070"/>
    <s v="Average"/>
    <x v="1"/>
    <n v="2.88767123287671"/>
  </r>
  <r>
    <s v="Kaine Padly"/>
    <x v="0"/>
    <s v="Website"/>
    <n v="20"/>
    <d v="2021-09-20T00:00:00"/>
    <n v="107700"/>
    <s v="Average"/>
    <x v="1"/>
    <n v="3.55068493150685"/>
  </r>
  <r>
    <s v="Kassi Jonson"/>
    <x v="1"/>
    <s v="Website"/>
    <n v="32"/>
    <d v="2021-06-07T00:00:00"/>
    <n v="43840"/>
    <s v="Above average"/>
    <x v="1"/>
    <n v="3.83835616438356"/>
  </r>
  <r>
    <s v="Simon Kembery"/>
    <x v="0"/>
    <s v="Procurement"/>
    <n v="40"/>
    <d v="2021-03-08T00:00:00"/>
    <n v="99750"/>
    <s v="Average"/>
    <x v="1"/>
    <n v="4.08767123287671"/>
  </r>
  <r>
    <s v="Orton Livick"/>
    <x v="0"/>
    <s v="Procurement"/>
    <n v="21"/>
    <d v="2020-09-30T00:00:00"/>
    <n v="37920"/>
    <s v="Average"/>
    <x v="1"/>
    <n v="4.52328767123288"/>
  </r>
  <r>
    <s v="Kelci Walkden"/>
    <x v="0"/>
    <s v="Procurement"/>
    <n v="21"/>
    <d v="2022-07-20T00:00:00"/>
    <n v="57090"/>
    <s v="Average"/>
    <x v="1"/>
    <n v="2.72054794520548"/>
  </r>
  <r>
    <s v="Dotty Strutley"/>
    <x v="1"/>
    <s v="Website"/>
    <n v="31"/>
    <d v="2020-11-10T00:00:00"/>
    <n v="41980"/>
    <s v="Average"/>
    <x v="1"/>
    <n v="4.41095890410959"/>
  </r>
  <r>
    <s v="Shari McNee"/>
    <x v="0"/>
    <s v="HR"/>
    <n v="21"/>
    <d v="2021-02-15T00:00:00"/>
    <n v="75880"/>
    <s v="Average"/>
    <x v="1"/>
    <n v="4.14520547945206"/>
  </r>
  <r>
    <s v="Oby Sorrel"/>
    <x v="1"/>
    <s v="Finance"/>
    <n v="34"/>
    <d v="2022-04-02T00:00:00"/>
    <n v="58940"/>
    <s v="Average"/>
    <x v="1"/>
    <n v="3.01917808219178"/>
  </r>
  <r>
    <s v="Husein Augar"/>
    <x v="1"/>
    <s v="Finance"/>
    <n v="30"/>
    <d v="2021-07-12T00:00:00"/>
    <n v="67910"/>
    <s v="Poor"/>
    <x v="1"/>
    <n v="3.74246575342466"/>
  </r>
  <r>
    <s v="Brien Boise"/>
    <x v="1"/>
    <s v="Website"/>
    <n v="31"/>
    <d v="2022-04-12T00:00:00"/>
    <n v="58100"/>
    <s v="Average"/>
    <x v="1"/>
    <n v="2.99178082191781"/>
  </r>
  <r>
    <s v="Esmaria Denecamp"/>
    <x v="0"/>
    <s v="Finance"/>
    <n v="27"/>
    <d v="2022-01-06T00:00:00"/>
    <n v="48980"/>
    <s v="Average"/>
    <x v="1"/>
    <n v="3.25479452054795"/>
  </r>
  <r>
    <s v="Curtice Advani"/>
    <x v="2"/>
    <s v="Finance"/>
    <n v="30"/>
    <d v="2022-02-05T00:00:00"/>
    <n v="64000"/>
    <s v="Average"/>
    <x v="1"/>
    <n v="3.17260273972603"/>
  </r>
  <r>
    <s v="Barr Faughny"/>
    <x v="1"/>
    <s v="Procurement"/>
    <n v="42"/>
    <d v="2022-08-06T00:00:00"/>
    <n v="75000"/>
    <s v="Exceptional"/>
    <x v="1"/>
    <n v="2.67397260273973"/>
  </r>
  <r>
    <s v="Merrilee Plenty"/>
    <x v="1"/>
    <s v="Website"/>
    <n v="40"/>
    <d v="2021-05-21T00:00:00"/>
    <n v="87620"/>
    <s v="Average"/>
    <x v="1"/>
    <n v="3.88493150684932"/>
  </r>
  <r>
    <s v="Niall Selesnick"/>
    <x v="1"/>
    <s v="Website"/>
    <n v="29"/>
    <d v="2020-07-11T00:00:00"/>
    <n v="34980"/>
    <s v="Average"/>
    <x v="1"/>
    <n v="4.74520547945205"/>
  </r>
  <r>
    <s v="Beverie Moffet"/>
    <x v="1"/>
    <s v="Finance"/>
    <n v="28"/>
    <d v="2020-12-20T00:00:00"/>
    <n v="75970"/>
    <s v="Average"/>
    <x v="1"/>
    <n v="4.3013698630137"/>
  </r>
  <r>
    <s v="Jehu Rudeforth"/>
    <x v="1"/>
    <s v="Finance"/>
    <n v="34"/>
    <d v="2022-02-20T00:00:00"/>
    <n v="60130"/>
    <s v="Average"/>
    <x v="1"/>
    <n v="3.13150684931507"/>
  </r>
  <r>
    <s v="Camilla Castle"/>
    <x v="1"/>
    <s v="Website"/>
    <n v="33"/>
    <d v="2021-06-27T00:00:00"/>
    <n v="75480"/>
    <s v="Very poor"/>
    <x v="1"/>
    <n v="3.78356164383562"/>
  </r>
  <r>
    <s v="Roddy Speechley"/>
    <x v="0"/>
    <s v="Procurement"/>
    <n v="33"/>
    <d v="2020-11-29T00:00:00"/>
    <n v="115920"/>
    <s v="Average"/>
    <x v="1"/>
    <n v="4.35890410958904"/>
  </r>
  <r>
    <s v="Gray Seamon"/>
    <x v="1"/>
    <s v="Sales"/>
    <n v="36"/>
    <d v="2021-10-25T00:00:00"/>
    <n v="78540"/>
    <s v="Average"/>
    <x v="1"/>
    <n v="3.45479452054795"/>
  </r>
  <r>
    <s v="Madelene Upcott"/>
    <x v="0"/>
    <s v="Procurement"/>
    <n v="25"/>
    <d v="2022-06-14T00:00:00"/>
    <n v="109190"/>
    <s v="Above average"/>
    <x v="1"/>
    <n v="2.81917808219178"/>
  </r>
  <r>
    <s v="Violante Courtonne"/>
    <x v="1"/>
    <s v="Sales"/>
    <n v="34"/>
    <d v="2022-06-09T00:00:00"/>
    <n v="49630"/>
    <s v="Poor"/>
    <x v="1"/>
    <n v="2.83287671232877"/>
  </r>
  <r>
    <s v="Bernie Gorges"/>
    <x v="1"/>
    <s v="Procurement"/>
    <n v="28"/>
    <d v="2022-03-10T00:00:00"/>
    <n v="99970"/>
    <s v="Average"/>
    <x v="1"/>
    <n v="3.08219178082192"/>
  </r>
  <r>
    <s v="Torrance Collier"/>
    <x v="1"/>
    <s v="Website"/>
    <n v="33"/>
    <d v="2020-12-25T00:00:00"/>
    <n v="96140"/>
    <s v="Average"/>
    <x v="1"/>
    <n v="4.28767123287671"/>
  </r>
  <r>
    <s v="Dyna Doucette"/>
    <x v="0"/>
    <s v="Procurement"/>
    <n v="31"/>
    <d v="2022-06-12T00:00:00"/>
    <n v="103550"/>
    <s v="Average"/>
    <x v="1"/>
    <n v="2.82465753424658"/>
  </r>
  <r>
    <s v="Gunar Cockshoot"/>
    <x v="0"/>
    <s v="Website"/>
    <n v="31"/>
    <d v="2021-11-11T00:00:00"/>
    <n v="48950"/>
    <s v="Average"/>
    <x v="1"/>
    <n v="3.40821917808219"/>
  </r>
  <r>
    <s v="Kaye Crocroft"/>
    <x v="0"/>
    <s v="Finance"/>
    <n v="24"/>
    <d v="2021-08-28T00:00:00"/>
    <n v="52610"/>
    <s v="Poor"/>
    <x v="1"/>
    <n v="3.61369863013699"/>
  </r>
  <r>
    <s v="Allene Gobbet"/>
    <x v="1"/>
    <s v="Procurement"/>
    <n v="36"/>
    <d v="2021-11-29T00:00:00"/>
    <n v="78390"/>
    <s v="Average"/>
    <x v="1"/>
    <n v="3.35890410958904"/>
  </r>
  <r>
    <s v="Sibyl Dunkirk"/>
    <x v="1"/>
    <s v="Finance"/>
    <n v="33"/>
    <d v="2022-09-05T00:00:00"/>
    <n v="86570"/>
    <s v="Average"/>
    <x v="1"/>
    <n v="2.59178082191781"/>
  </r>
  <r>
    <s v="Agnes Collicott"/>
    <x v="1"/>
    <s v="Website"/>
    <n v="27"/>
    <d v="2022-05-05T00:00:00"/>
    <n v="83750"/>
    <s v="Average"/>
    <x v="1"/>
    <n v="2.92876712328767"/>
  </r>
  <r>
    <s v="Leilah Yesinin"/>
    <x v="1"/>
    <s v="Finance"/>
    <n v="34"/>
    <d v="2021-09-06T00:00:00"/>
    <n v="92450"/>
    <s v="Average"/>
    <x v="1"/>
    <n v="3.58904109589041"/>
  </r>
  <r>
    <s v="Mollie Hanway"/>
    <x v="0"/>
    <s v="Website"/>
    <n v="20"/>
    <d v="2020-12-18T00:00:00"/>
    <n v="112650"/>
    <s v="Average"/>
    <x v="1"/>
    <n v="4.30684931506849"/>
  </r>
  <r>
    <s v="Kellsie Waby"/>
    <x v="0"/>
    <s v="Procurement"/>
    <n v="20"/>
    <d v="2022-07-02T00:00:00"/>
    <n v="79570"/>
    <s v="Average"/>
    <x v="1"/>
    <n v="2.76986301369863"/>
  </r>
  <r>
    <s v="Hyacinthie Braybrooke"/>
    <x v="1"/>
    <s v="Sales"/>
    <n v="20"/>
    <d v="2021-12-07T00:00:00"/>
    <n v="68900"/>
    <s v="Poor"/>
    <x v="1"/>
    <n v="3.33698630136986"/>
  </r>
  <r>
    <s v="Van Tuxwell"/>
    <x v="1"/>
    <s v="Website"/>
    <n v="25"/>
    <d v="2022-05-13T00:00:00"/>
    <n v="80700"/>
    <s v="Above average"/>
    <x v="1"/>
    <n v="2.90684931506849"/>
  </r>
  <r>
    <s v="Lilyan Klimpt"/>
    <x v="0"/>
    <s v="Procurement"/>
    <n v="19"/>
    <d v="2021-03-22T00:00:00"/>
    <n v="58960"/>
    <s v="Average"/>
    <x v="1"/>
    <n v="4.04931506849315"/>
  </r>
  <r>
    <s v="Tawnya Tickel"/>
    <x v="0"/>
    <s v="Website"/>
    <n v="36"/>
    <d v="2020-07-07T00:00:00"/>
    <n v="118840"/>
    <s v="Average"/>
    <x v="1"/>
    <n v="4.75616438356164"/>
  </r>
  <r>
    <s v="Jan Morforth"/>
    <x v="0"/>
    <s v="Finance"/>
    <n v="28"/>
    <d v="2020-07-29T00:00:00"/>
    <n v="48170"/>
    <s v="Above average"/>
    <x v="1"/>
    <n v="4.6958904109589"/>
  </r>
  <r>
    <s v="Florinda Crace"/>
    <x v="1"/>
    <s v="HR"/>
    <n v="32"/>
    <d v="2021-07-23T00:00:00"/>
    <n v="45510"/>
    <s v="Average"/>
    <x v="1"/>
    <n v="3.71232876712329"/>
  </r>
  <r>
    <s v="Tracy Renad"/>
    <x v="1"/>
    <s v="Procurement"/>
    <n v="36"/>
    <d v="2020-09-11T00:00:00"/>
    <n v="114890"/>
    <s v="Average"/>
    <x v="1"/>
    <n v="4.57534246575342"/>
  </r>
  <r>
    <s v="Myer McCory"/>
    <x v="0"/>
    <s v="Website"/>
    <n v="30"/>
    <d v="2022-10-16T00:00:00"/>
    <n v="69710"/>
    <s v="Average"/>
    <x v="1"/>
    <n v="2.47945205479452"/>
  </r>
  <r>
    <s v="Bennie Pepis"/>
    <x v="0"/>
    <s v="Finance"/>
    <n v="36"/>
    <d v="2021-05-17T00:00:00"/>
    <n v="71380"/>
    <s v="Average"/>
    <x v="1"/>
    <n v="3.8958904109589"/>
  </r>
  <r>
    <s v="Rafaelita Blaksland"/>
    <x v="1"/>
    <s v="Sales"/>
    <n v="38"/>
    <d v="2021-06-30T00:00:00"/>
    <n v="109160"/>
    <s v="Exceptional"/>
    <x v="1"/>
    <n v="3.77534246575342"/>
  </r>
  <r>
    <s v="Mahalia Larcher"/>
    <x v="0"/>
    <s v="Procurement"/>
    <n v="27"/>
    <d v="2022-02-17T00:00:00"/>
    <n v="113280"/>
    <s v="Very poor"/>
    <x v="1"/>
    <n v="3.13972602739726"/>
  </r>
  <r>
    <s v="Andria Kimpton"/>
    <x v="0"/>
    <s v="Website"/>
    <n v="30"/>
    <d v="2021-03-18T00:00:00"/>
    <n v="69120"/>
    <s v="Average"/>
    <x v="1"/>
    <n v="4.06027397260274"/>
  </r>
  <r>
    <s v="Valentia Etteridge"/>
    <x v="1"/>
    <s v="HR"/>
    <n v="37"/>
    <d v="2021-09-12T00:00:00"/>
    <n v="118100"/>
    <s v="Average"/>
    <x v="1"/>
    <n v="3.57260273972603"/>
  </r>
  <r>
    <s v="Virginia McConville"/>
    <x v="1"/>
    <s v="Procurement"/>
    <n v="22"/>
    <d v="2021-09-11T00:00:00"/>
    <n v="76900"/>
    <s v="Above average"/>
    <x v="1"/>
    <n v="3.57534246575343"/>
  </r>
  <r>
    <s v="Wilone O'Kielt"/>
    <x v="1"/>
    <s v="Website"/>
    <n v="43"/>
    <d v="2023-04-29T00:00:00"/>
    <n v="114870"/>
    <s v="Average"/>
    <x v="1"/>
    <n v="1.94520547945205"/>
  </r>
  <r>
    <s v="Madge McCloughen"/>
    <x v="2"/>
    <s v="Website"/>
    <n v="32"/>
    <d v="2022-08-01T00:00:00"/>
    <n v="91310"/>
    <s v="Average"/>
    <x v="1"/>
    <n v="2.68767123287671"/>
  </r>
  <r>
    <s v="Janene Hairsine"/>
    <x v="1"/>
    <s v="Procurement"/>
    <n v="28"/>
    <d v="2021-10-17T00:00:00"/>
    <n v="104770"/>
    <s v="Average"/>
    <x v="1"/>
    <n v="3.47671232876712"/>
  </r>
  <r>
    <s v="Alta Kaszper"/>
    <x v="0"/>
    <s v="Sales"/>
    <n v="27"/>
    <d v="2020-10-30T00:00:00"/>
    <n v="54970"/>
    <s v="Average"/>
    <x v="1"/>
    <n v="4.44109589041096"/>
  </r>
  <r>
    <s v="Dennison Crosswaite"/>
    <x v="2"/>
    <s v="Website"/>
    <n v="26"/>
    <d v="2021-03-16T00:00:00"/>
    <n v="90700"/>
    <s v="Above average"/>
    <x v="1"/>
    <n v="4.06575342465753"/>
  </r>
  <r>
    <s v="Oran Buxcy"/>
    <x v="1"/>
    <s v="Sales"/>
    <n v="38"/>
    <d v="2021-05-13T00:00:00"/>
    <n v="56870"/>
    <s v="Above average"/>
    <x v="1"/>
    <n v="3.90684931506849"/>
  </r>
  <r>
    <s v="Hinda Label"/>
    <x v="1"/>
    <s v="Sales"/>
    <n v="25"/>
    <d v="2021-01-09T00:00:00"/>
    <n v="92700"/>
    <s v="Average"/>
    <x v="1"/>
    <n v="4.24657534246575"/>
  </r>
  <r>
    <s v="Marney O'Breen"/>
    <x v="1"/>
    <s v="Finance"/>
    <n v="21"/>
    <d v="2021-05-01T00:00:00"/>
    <n v="65920"/>
    <s v="Average"/>
    <x v="1"/>
    <n v="3.93972602739726"/>
  </r>
  <r>
    <s v="Dell Molloy"/>
    <x v="0"/>
    <s v="Procurement"/>
    <n v="26"/>
    <d v="2021-01-29T00:00:00"/>
    <n v="47360"/>
    <s v="Average"/>
    <x v="1"/>
    <n v="4.19178082191781"/>
  </r>
  <r>
    <s v="Mallorie Waber"/>
    <x v="0"/>
    <s v="Procurement"/>
    <n v="30"/>
    <d v="2022-04-15T00:00:00"/>
    <n v="60570"/>
    <s v="Average"/>
    <x v="1"/>
    <n v="2.98356164383562"/>
  </r>
  <r>
    <s v="Cherlyn Barter"/>
    <x v="1"/>
    <s v="Procurement"/>
    <n v="28"/>
    <d v="2022-03-29T00:00:00"/>
    <n v="104120"/>
    <s v="Average"/>
    <x v="1"/>
    <n v="3.03013698630137"/>
  </r>
  <r>
    <s v="Ches Bonnell"/>
    <x v="0"/>
    <s v="Website"/>
    <n v="37"/>
    <d v="2021-05-22T00:00:00"/>
    <n v="88050"/>
    <s v="Poor"/>
    <x v="1"/>
    <n v="3.88219178082192"/>
  </r>
  <r>
    <s v="Collin Jagson"/>
    <x v="0"/>
    <s v="Website"/>
    <n v="24"/>
    <d v="2022-05-05T00:00:00"/>
    <n v="100420"/>
    <s v="Average"/>
    <x v="1"/>
    <n v="2.92876712328767"/>
  </r>
  <r>
    <s v="Hogan Iles"/>
    <x v="1"/>
    <s v="Procurement"/>
    <n v="30"/>
    <d v="2022-10-16T00:00:00"/>
    <n v="114180"/>
    <s v="Average"/>
    <x v="1"/>
    <n v="2.47945205479452"/>
  </r>
  <r>
    <s v="Gretchen Callow"/>
    <x v="1"/>
    <s v="Website"/>
    <n v="21"/>
    <d v="2022-04-27T00:00:00"/>
    <n v="33920"/>
    <s v="Average"/>
    <x v="1"/>
    <n v="2.95068493150685"/>
  </r>
  <r>
    <s v="Kissiah Maydway"/>
    <x v="0"/>
    <s v="Procurement"/>
    <n v="23"/>
    <d v="2021-09-01T00:00:00"/>
    <n v="106460"/>
    <s v="Average"/>
    <x v="1"/>
    <n v="3.6027397260274"/>
  </r>
  <r>
    <s v="Archibald Filliskirk"/>
    <x v="0"/>
    <s v="Procurement"/>
    <n v="35"/>
    <d v="2022-06-15T00:00:00"/>
    <n v="40400"/>
    <s v="Average"/>
    <x v="1"/>
    <n v="2.81643835616438"/>
  </r>
  <r>
    <s v="Enoch Dowrey"/>
    <x v="0"/>
    <s v="Finance"/>
    <n v="27"/>
    <d v="2021-02-09T00:00:00"/>
    <n v="91650"/>
    <s v="Above average"/>
    <x v="1"/>
    <n v="4.16164383561644"/>
  </r>
  <r>
    <s v="Bili Sizey"/>
    <x v="0"/>
    <s v="Sales"/>
    <n v="43"/>
    <d v="2022-02-28T00:00:00"/>
    <n v="36040"/>
    <s v="Average"/>
    <x v="1"/>
    <n v="3.10958904109589"/>
  </r>
  <r>
    <s v="Caro Chappel"/>
    <x v="1"/>
    <s v="Website"/>
    <n v="40"/>
    <d v="2021-07-04T00:00:00"/>
    <n v="104410"/>
    <s v="Average"/>
    <x v="1"/>
    <n v="3.76438356164384"/>
  </r>
  <r>
    <s v="Constantino Espley"/>
    <x v="0"/>
    <s v="Finance"/>
    <n v="30"/>
    <d v="2022-02-14T00:00:00"/>
    <n v="96800"/>
    <s v="Average"/>
    <x v="1"/>
    <n v="3.14794520547945"/>
  </r>
  <r>
    <s v="Karlen McCaffrey"/>
    <x v="1"/>
    <s v="Finance"/>
    <n v="34"/>
    <d v="2021-09-20T00:00:00"/>
    <n v="85000"/>
    <s v="Average"/>
    <x v="1"/>
    <n v="3.55068493150685"/>
  </r>
  <r>
    <s v="Drusy MacCombe"/>
    <x v="0"/>
    <s v="Sales"/>
    <n v="28"/>
    <d v="2022-09-16T00:00:00"/>
    <n v="43510"/>
    <s v="Very poor"/>
    <x v="1"/>
    <n v="2.56164383561644"/>
  </r>
  <r>
    <s v="My Hanscome"/>
    <x v="0"/>
    <s v="Finance"/>
    <n v="33"/>
    <d v="2021-02-16T00:00:00"/>
    <n v="59430"/>
    <s v="Average"/>
    <x v="1"/>
    <n v="4.14246575342466"/>
  </r>
  <r>
    <s v="Teressa Udden"/>
    <x v="1"/>
    <s v="Finance"/>
    <n v="33"/>
    <d v="2020-08-24T00:00:00"/>
    <n v="65360"/>
    <s v="Average"/>
    <x v="1"/>
    <n v="4.62465753424658"/>
  </r>
  <r>
    <s v="Crissie Cordel"/>
    <x v="1"/>
    <s v="Procurement"/>
    <n v="32"/>
    <d v="2022-02-19T00:00:00"/>
    <n v="41570"/>
    <s v="Average"/>
    <x v="1"/>
    <n v="3.13424657534247"/>
  </r>
  <r>
    <s v="Elia Cockton"/>
    <x v="1"/>
    <s v="Website"/>
    <n v="33"/>
    <d v="2021-04-26T00:00:00"/>
    <n v="75280"/>
    <s v="Average"/>
    <x v="1"/>
    <n v="3.95342465753425"/>
  </r>
  <r>
    <s v="Gigi Bohling"/>
    <x v="0"/>
    <s v="Sales"/>
    <n v="33"/>
    <d v="2021-07-08T00:00:00"/>
    <n v="74550"/>
    <s v="Average"/>
    <x v="1"/>
    <n v="3.75342465753425"/>
  </r>
  <r>
    <s v="Ebonee Roxburgh"/>
    <x v="0"/>
    <s v="Procurement"/>
    <n v="30"/>
    <d v="2022-05-20T00:00:00"/>
    <n v="67950"/>
    <s v="Average"/>
    <x v="1"/>
    <n v="2.88767123287671"/>
  </r>
  <r>
    <s v="Shayne Stegel"/>
    <x v="0"/>
    <s v="Finance"/>
    <n v="42"/>
    <d v="2022-06-19T00:00:00"/>
    <n v="70270"/>
    <s v="Poor"/>
    <x v="1"/>
    <n v="2.80547945205479"/>
  </r>
  <r>
    <s v="Zach Polon"/>
    <x v="0"/>
    <s v="Procurement"/>
    <n v="26"/>
    <d v="2021-08-03T00:00:00"/>
    <n v="53540"/>
    <s v="Average"/>
    <x v="1"/>
    <n v="3.6821917808219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Shubhra Potla"/>
    <s v="Female"/>
    <s v="Website"/>
    <n v="21"/>
    <d v="2022-02-27T00:00:00"/>
    <n v="33920"/>
    <s v="Average"/>
    <s v="IND"/>
    <n v="3.1123287671232878"/>
    <n v="1018"/>
    <n v="3"/>
    <x v="0"/>
  </r>
  <r>
    <s v="Gretchen Callow"/>
    <s v="Female"/>
    <s v="Website"/>
    <n v="21"/>
    <d v="2022-04-27T00:00:00"/>
    <n v="33920"/>
    <s v="Average"/>
    <s v="NZ"/>
    <n v="2.9506849315068493"/>
    <n v="679"/>
    <n v="3"/>
    <x v="0"/>
  </r>
  <r>
    <s v="Suchira Bhanupriya Tapti"/>
    <s v="Female"/>
    <s v="Website"/>
    <n v="29"/>
    <d v="2020-05-11T00:00:00"/>
    <n v="34980"/>
    <s v="Average"/>
    <s v="IND"/>
    <n v="4.912328767123288"/>
    <n v="1050"/>
    <n v="3"/>
    <x v="1"/>
  </r>
  <r>
    <s v="Niall Selesnick"/>
    <s v="Female"/>
    <s v="Website"/>
    <n v="29"/>
    <d v="2020-07-11T00:00:00"/>
    <n v="34980"/>
    <s v="Average"/>
    <s v="NZ"/>
    <n v="4.7452054794520544"/>
    <n v="1050"/>
    <n v="3"/>
    <x v="1"/>
  </r>
  <r>
    <s v="Waheeda Vasuman"/>
    <s v="Male"/>
    <s v="Sales"/>
    <n v="43"/>
    <d v="2021-12-28T00:00:00"/>
    <n v="36040"/>
    <s v="Average"/>
    <s v="IND"/>
    <n v="3.2794520547945205"/>
    <n v="1082"/>
    <n v="3"/>
    <x v="2"/>
  </r>
  <r>
    <s v="Bili Sizey"/>
    <s v="Male"/>
    <s v="Sales"/>
    <n v="43"/>
    <d v="2022-02-28T00:00:00"/>
    <n v="36040"/>
    <s v="Average"/>
    <s v="NZ"/>
    <n v="3.1095890410958904"/>
    <n v="1082"/>
    <n v="3"/>
    <x v="0"/>
  </r>
  <r>
    <s v="Akbar Sorabhjee"/>
    <s v="Male"/>
    <s v="Procurement"/>
    <n v="21"/>
    <d v="2020-07-30T00:00:00"/>
    <n v="37920"/>
    <s v="Average"/>
    <s v="IND"/>
    <n v="4.6931506849315072"/>
    <n v="1138"/>
    <n v="3"/>
    <x v="1"/>
  </r>
  <r>
    <s v="Orton Livick"/>
    <s v="Male"/>
    <s v="Procurement"/>
    <n v="21"/>
    <d v="2020-09-30T00:00:00"/>
    <n v="37920"/>
    <s v="Average"/>
    <s v="NZ"/>
    <n v="4.5232876712328771"/>
    <n v="1138"/>
    <n v="3"/>
    <x v="1"/>
  </r>
  <r>
    <s v="Shobhana Samuel"/>
    <s v="Male"/>
    <s v="Procurement"/>
    <n v="35"/>
    <d v="2022-04-15T00:00:00"/>
    <n v="40400"/>
    <s v="Average"/>
    <s v="IND"/>
    <n v="2.9835616438356163"/>
    <n v="808"/>
    <n v="3"/>
    <x v="0"/>
  </r>
  <r>
    <s v="Archibald Filliskirk"/>
    <s v="Male"/>
    <s v="Procurement"/>
    <n v="35"/>
    <d v="2022-06-15T00:00:00"/>
    <n v="40400"/>
    <s v="Average"/>
    <s v="NZ"/>
    <n v="2.8164383561643835"/>
    <n v="808"/>
    <n v="3"/>
    <x v="0"/>
  </r>
  <r>
    <s v="Prerana Nishita"/>
    <s v="Female"/>
    <s v="Procurement"/>
    <n v="32"/>
    <d v="2021-12-19T00:00:00"/>
    <n v="41570"/>
    <s v="Average"/>
    <s v="IND"/>
    <n v="3.3041095890410959"/>
    <n v="1248"/>
    <n v="3"/>
    <x v="2"/>
  </r>
  <r>
    <s v="Crissie Cordel"/>
    <s v="Female"/>
    <s v="Procurement"/>
    <n v="32"/>
    <d v="2022-02-19T00:00:00"/>
    <n v="41570"/>
    <s v="Average"/>
    <s v="NZ"/>
    <n v="3.1342465753424658"/>
    <n v="1248"/>
    <n v="3"/>
    <x v="0"/>
  </r>
  <r>
    <s v="Jagajeet Viraj"/>
    <s v="Female"/>
    <s v="Website"/>
    <n v="31"/>
    <d v="2020-09-10T00:00:00"/>
    <n v="41980"/>
    <s v="Average"/>
    <s v="IND"/>
    <n v="4.5780821917808217"/>
    <n v="1260"/>
    <n v="3"/>
    <x v="1"/>
  </r>
  <r>
    <s v="Dotty Strutley"/>
    <s v="Female"/>
    <s v="Website"/>
    <n v="31"/>
    <d v="2020-11-10T00:00:00"/>
    <n v="41980"/>
    <s v="Average"/>
    <s v="NZ"/>
    <n v="4.4109589041095889"/>
    <n v="1260"/>
    <n v="3"/>
    <x v="1"/>
  </r>
  <r>
    <s v="Rupak Mehra"/>
    <s v="Male"/>
    <s v="Sales"/>
    <n v="28"/>
    <d v="2022-07-16T00:00:00"/>
    <n v="43510"/>
    <s v="Very poor"/>
    <s v="IND"/>
    <n v="2.7315068493150685"/>
    <n v="871"/>
    <n v="1"/>
    <x v="0"/>
  </r>
  <r>
    <s v="Drusy MacCombe"/>
    <s v="Male"/>
    <s v="Sales"/>
    <n v="28"/>
    <d v="2022-09-16T00:00:00"/>
    <n v="43510"/>
    <s v="Very poor"/>
    <s v="NZ"/>
    <n v="2.5616438356164384"/>
    <n v="871"/>
    <n v="1"/>
    <x v="0"/>
  </r>
  <r>
    <s v="Yagna Sujeev"/>
    <s v="Female"/>
    <s v="Website"/>
    <n v="32"/>
    <d v="2021-04-07T00:00:00"/>
    <n v="43840"/>
    <s v="Above average"/>
    <s v="IND"/>
    <n v="4.0054794520547947"/>
    <n v="1316"/>
    <n v="4"/>
    <x v="2"/>
  </r>
  <r>
    <s v="Kassi Jonson"/>
    <s v="Female"/>
    <s v="Website"/>
    <n v="32"/>
    <d v="2021-06-07T00:00:00"/>
    <n v="43840"/>
    <s v="Above average"/>
    <s v="NZ"/>
    <n v="3.8383561643835615"/>
    <n v="1316"/>
    <n v="4"/>
    <x v="2"/>
  </r>
  <r>
    <s v="Madhavdas Buhpathi"/>
    <s v="Female"/>
    <s v="HR"/>
    <n v="32"/>
    <d v="2021-05-23T00:00:00"/>
    <n v="45510"/>
    <s v="Average"/>
    <s v="IND"/>
    <n v="3.8794520547945206"/>
    <n v="1366"/>
    <n v="3"/>
    <x v="2"/>
  </r>
  <r>
    <s v="Florinda Crace"/>
    <s v="Female"/>
    <s v="HR"/>
    <n v="32"/>
    <d v="2021-07-23T00:00:00"/>
    <n v="45510"/>
    <s v="Average"/>
    <s v="NZ"/>
    <n v="3.7123287671232879"/>
    <n v="1366"/>
    <n v="3"/>
    <x v="2"/>
  </r>
  <r>
    <s v="Shiuli Sapna"/>
    <s v="Male"/>
    <s v="Procurement"/>
    <n v="26"/>
    <d v="2020-11-29T00:00:00"/>
    <n v="47360"/>
    <s v="Average"/>
    <s v="IND"/>
    <n v="4.3589041095890408"/>
    <n v="1421"/>
    <n v="3"/>
    <x v="1"/>
  </r>
  <r>
    <s v="Dell Molloy"/>
    <s v="Male"/>
    <s v="Procurement"/>
    <n v="26"/>
    <d v="2021-01-29T00:00:00"/>
    <n v="47360"/>
    <s v="Average"/>
    <s v="NZ"/>
    <n v="4.1917808219178081"/>
    <n v="1421"/>
    <n v="3"/>
    <x v="2"/>
  </r>
  <r>
    <s v="Ardhendu Abhichandra Jayakar"/>
    <s v="Male"/>
    <s v="Finance"/>
    <n v="28"/>
    <d v="2020-05-29T00:00:00"/>
    <n v="48170"/>
    <s v="Above average"/>
    <s v="IND"/>
    <n v="4.8630136986301373"/>
    <n v="1446"/>
    <n v="4"/>
    <x v="1"/>
  </r>
  <r>
    <s v="Jan Morforth"/>
    <s v="Male"/>
    <s v="Finance"/>
    <n v="28"/>
    <d v="2020-07-29T00:00:00"/>
    <n v="48170"/>
    <s v="Above average"/>
    <s v="NZ"/>
    <n v="4.6958904109589037"/>
    <n v="1446"/>
    <n v="4"/>
    <x v="1"/>
  </r>
  <r>
    <s v="Piyali Mahanthapa"/>
    <s v="Male"/>
    <s v="Procurement"/>
    <n v="33"/>
    <d v="2022-03-20T00:00:00"/>
    <n v="48530"/>
    <s v="Above average"/>
    <s v="IND"/>
    <n v="3.0547945205479454"/>
    <n v="1456"/>
    <n v="4"/>
    <x v="0"/>
  </r>
  <r>
    <s v="Erin Androsik"/>
    <s v="Male"/>
    <s v="Procurement"/>
    <n v="33"/>
    <d v="2022-05-20T00:00:00"/>
    <n v="48530"/>
    <s v="Above average"/>
    <s v="NZ"/>
    <n v="2.8876712328767122"/>
    <n v="971"/>
    <n v="4"/>
    <x v="0"/>
  </r>
  <r>
    <s v="Amal Nimesh"/>
    <s v="Male"/>
    <s v="Website"/>
    <n v="31"/>
    <d v="2021-09-11T00:00:00"/>
    <n v="48950"/>
    <s v="Average"/>
    <s v="IND"/>
    <n v="3.5753424657534247"/>
    <n v="1469"/>
    <n v="3"/>
    <x v="2"/>
  </r>
  <r>
    <s v="Gunar Cockshoot"/>
    <s v="Male"/>
    <s v="Website"/>
    <n v="31"/>
    <d v="2021-11-11T00:00:00"/>
    <n v="48950"/>
    <s v="Average"/>
    <s v="NZ"/>
    <n v="3.408219178082192"/>
    <n v="1469"/>
    <n v="3"/>
    <x v="2"/>
  </r>
  <r>
    <s v="Vanmala Shriharsha"/>
    <s v="Male"/>
    <s v="Finance"/>
    <n v="27"/>
    <d v="2021-11-06T00:00:00"/>
    <n v="48980"/>
    <s v="Average"/>
    <s v="IND"/>
    <n v="3.4219178082191779"/>
    <n v="1470"/>
    <n v="3"/>
    <x v="2"/>
  </r>
  <r>
    <s v="Esmaria Denecamp"/>
    <s v="Male"/>
    <s v="Finance"/>
    <n v="27"/>
    <d v="2022-01-06T00:00:00"/>
    <n v="48980"/>
    <s v="Average"/>
    <s v="NZ"/>
    <n v="3.2547945205479452"/>
    <n v="1470"/>
    <n v="3"/>
    <x v="0"/>
  </r>
  <r>
    <s v="Daruka Ghazali"/>
    <s v="Female"/>
    <s v="Sales"/>
    <n v="34"/>
    <d v="2022-04-09T00:00:00"/>
    <n v="49630"/>
    <s v="Poor"/>
    <s v="IND"/>
    <n v="3"/>
    <n v="993"/>
    <n v="2"/>
    <x v="0"/>
  </r>
  <r>
    <s v="Violante Courtonne"/>
    <s v="Female"/>
    <s v="Sales"/>
    <n v="34"/>
    <d v="2022-06-09T00:00:00"/>
    <n v="49630"/>
    <s v="Poor"/>
    <s v="NZ"/>
    <n v="2.8328767123287673"/>
    <n v="993"/>
    <n v="2"/>
    <x v="0"/>
  </r>
  <r>
    <s v="Gumwant Veera"/>
    <s v="Male"/>
    <s v="Finance"/>
    <n v="24"/>
    <d v="2021-06-28T00:00:00"/>
    <n v="52610"/>
    <s v="Poor"/>
    <s v="IND"/>
    <n v="3.7808219178082192"/>
    <n v="1579"/>
    <n v="2"/>
    <x v="2"/>
  </r>
  <r>
    <s v="Kaye Crocroft"/>
    <s v="Male"/>
    <s v="Finance"/>
    <n v="24"/>
    <d v="2021-08-28T00:00:00"/>
    <n v="52610"/>
    <s v="Poor"/>
    <s v="NZ"/>
    <n v="3.6136986301369864"/>
    <n v="1579"/>
    <n v="2"/>
    <x v="2"/>
  </r>
  <r>
    <s v="Anumati Shyamari Meherhomji"/>
    <s v="Female"/>
    <s v="Sales"/>
    <n v="28"/>
    <d v="2021-04-10T00:00:00"/>
    <n v="53240"/>
    <s v="Average"/>
    <s v="IND"/>
    <n v="3.9972602739726026"/>
    <n v="1598"/>
    <n v="3"/>
    <x v="2"/>
  </r>
  <r>
    <s v="Tatum Hush"/>
    <s v="Female"/>
    <s v="Sales"/>
    <n v="28"/>
    <d v="2021-06-10T00:00:00"/>
    <n v="53240"/>
    <s v="Average"/>
    <s v="NZ"/>
    <n v="3.8301369863013699"/>
    <n v="1598"/>
    <n v="3"/>
    <x v="2"/>
  </r>
  <r>
    <s v="Geena Raghavanpillai"/>
    <s v="Male"/>
    <s v="Sales"/>
    <n v="32"/>
    <d v="2021-07-26T00:00:00"/>
    <n v="53540"/>
    <s v="Average"/>
    <s v="IND"/>
    <n v="3.7041095890410958"/>
    <n v="1607"/>
    <n v="3"/>
    <x v="2"/>
  </r>
  <r>
    <s v="Chitrasen Laul"/>
    <s v="Male"/>
    <s v="Procurement"/>
    <n v="26"/>
    <d v="2021-06-03T00:00:00"/>
    <n v="53540"/>
    <s v="Average"/>
    <s v="IND"/>
    <n v="3.8493150684931505"/>
    <n v="1607"/>
    <n v="3"/>
    <x v="2"/>
  </r>
  <r>
    <s v="Hoyt D'Alesco"/>
    <s v="Male"/>
    <s v="Sales"/>
    <n v="32"/>
    <d v="2021-09-26T00:00:00"/>
    <n v="53540"/>
    <s v="Average"/>
    <s v="NZ"/>
    <n v="3.5342465753424657"/>
    <n v="1607"/>
    <n v="3"/>
    <x v="2"/>
  </r>
  <r>
    <s v="Zach Polon"/>
    <s v="Male"/>
    <s v="Procurement"/>
    <n v="26"/>
    <d v="2021-08-03T00:00:00"/>
    <n v="53540"/>
    <s v="Average"/>
    <s v="NZ"/>
    <n v="3.6821917808219178"/>
    <n v="1607"/>
    <n v="3"/>
    <x v="2"/>
  </r>
  <r>
    <s v="Pragya Nilufar"/>
    <s v="Male"/>
    <s v="Website"/>
    <n v="33"/>
    <d v="2021-09-09T00:00:00"/>
    <n v="53870"/>
    <s v="Average"/>
    <s v="IND"/>
    <n v="3.580821917808219"/>
    <n v="1617"/>
    <n v="3"/>
    <x v="2"/>
  </r>
  <r>
    <s v="William Reeveley"/>
    <s v="Male"/>
    <s v="Website"/>
    <n v="33"/>
    <d v="2021-11-09T00:00:00"/>
    <n v="53870"/>
    <s v="Average"/>
    <s v="NZ"/>
    <n v="3.4136986301369863"/>
    <n v="1617"/>
    <n v="3"/>
    <x v="2"/>
  </r>
  <r>
    <s v="Sanchali Shirish"/>
    <s v="Male"/>
    <s v="Sales"/>
    <n v="27"/>
    <d v="2020-08-30T00:00:00"/>
    <n v="54970"/>
    <s v="Average"/>
    <s v="IND"/>
    <n v="4.6082191780821917"/>
    <n v="1650"/>
    <n v="3"/>
    <x v="1"/>
  </r>
  <r>
    <s v="Alta Kaszper"/>
    <s v="Male"/>
    <s v="Sales"/>
    <n v="27"/>
    <d v="2020-10-30T00:00:00"/>
    <n v="54970"/>
    <s v="Average"/>
    <s v="NZ"/>
    <n v="4.441095890410959"/>
    <n v="1650"/>
    <n v="3"/>
    <x v="1"/>
  </r>
  <r>
    <s v="Mirium Seemantini Shivakumar"/>
    <s v="Female"/>
    <s v="Sales"/>
    <n v="38"/>
    <d v="2021-03-13T00:00:00"/>
    <n v="56870"/>
    <s v="Above average"/>
    <s v="IND"/>
    <n v="4.0739726027397261"/>
    <n v="1707"/>
    <n v="4"/>
    <x v="2"/>
  </r>
  <r>
    <s v="Oran Buxcy"/>
    <s v="Female"/>
    <s v="Sales"/>
    <n v="38"/>
    <d v="2021-05-13T00:00:00"/>
    <n v="56870"/>
    <s v="Above average"/>
    <s v="NZ"/>
    <n v="3.9068493150684933"/>
    <n v="1707"/>
    <n v="4"/>
    <x v="2"/>
  </r>
  <r>
    <s v="Shattesh Utpat"/>
    <s v="Male"/>
    <s v="Procurement"/>
    <n v="21"/>
    <d v="2022-05-20T00:00:00"/>
    <n v="57090"/>
    <s v="Average"/>
    <s v="IND"/>
    <n v="2.8876712328767122"/>
    <n v="1142"/>
    <n v="3"/>
    <x v="0"/>
  </r>
  <r>
    <s v="Kelci Walkden"/>
    <s v="Male"/>
    <s v="Procurement"/>
    <n v="21"/>
    <d v="2022-07-20T00:00:00"/>
    <n v="57090"/>
    <s v="Average"/>
    <s v="NZ"/>
    <n v="2.7205479452054795"/>
    <n v="1142"/>
    <n v="3"/>
    <x v="0"/>
  </r>
  <r>
    <s v="Pratigya Rema"/>
    <s v="Female"/>
    <s v="Website"/>
    <n v="31"/>
    <d v="2022-02-12T00:00:00"/>
    <n v="58100"/>
    <s v="Average"/>
    <s v="IND"/>
    <n v="3.1534246575342464"/>
    <n v="1743"/>
    <n v="3"/>
    <x v="0"/>
  </r>
  <r>
    <s v="Brien Boise"/>
    <s v="Female"/>
    <s v="Website"/>
    <n v="31"/>
    <d v="2022-04-12T00:00:00"/>
    <n v="58100"/>
    <s v="Average"/>
    <s v="NZ"/>
    <n v="2.9917808219178084"/>
    <n v="1162"/>
    <n v="3"/>
    <x v="0"/>
  </r>
  <r>
    <s v="Krittika Gaekwad"/>
    <s v="Female"/>
    <s v="Finance"/>
    <n v="34"/>
    <d v="2022-02-02T00:00:00"/>
    <n v="58940"/>
    <s v="Average"/>
    <s v="IND"/>
    <n v="3.1808219178082191"/>
    <n v="1769"/>
    <n v="3"/>
    <x v="0"/>
  </r>
  <r>
    <s v="Oby Sorrel"/>
    <s v="Female"/>
    <s v="Finance"/>
    <n v="34"/>
    <d v="2022-04-02T00:00:00"/>
    <n v="58940"/>
    <s v="Average"/>
    <s v="NZ"/>
    <n v="3.0191780821917806"/>
    <n v="1769"/>
    <n v="3"/>
    <x v="0"/>
  </r>
  <r>
    <s v="Vinanti Choudhari"/>
    <s v="Male"/>
    <s v="Procurement"/>
    <n v="19"/>
    <d v="2021-01-22T00:00:00"/>
    <n v="58960"/>
    <s v="Average"/>
    <s v="IND"/>
    <n v="4.2109589041095887"/>
    <n v="1769"/>
    <n v="3"/>
    <x v="2"/>
  </r>
  <r>
    <s v="Lilyan Klimpt"/>
    <s v="Male"/>
    <s v="Procurement"/>
    <n v="19"/>
    <d v="2021-03-22T00:00:00"/>
    <n v="58960"/>
    <s v="Average"/>
    <s v="NZ"/>
    <n v="4.0493150684931507"/>
    <n v="1769"/>
    <n v="3"/>
    <x v="2"/>
  </r>
  <r>
    <s v="Asija Pothireddy"/>
    <s v="Male"/>
    <s v="Finance"/>
    <n v="33"/>
    <d v="2020-12-16T00:00:00"/>
    <n v="59430"/>
    <s v="Average"/>
    <s v="IND"/>
    <n v="4.3123287671232875"/>
    <n v="1783"/>
    <n v="3"/>
    <x v="1"/>
  </r>
  <r>
    <s v="My Hanscome"/>
    <s v="Male"/>
    <s v="Finance"/>
    <n v="33"/>
    <d v="2021-02-16T00:00:00"/>
    <n v="59430"/>
    <s v="Average"/>
    <s v="NZ"/>
    <n v="4.1424657534246574"/>
    <n v="1783"/>
    <n v="3"/>
    <x v="2"/>
  </r>
  <r>
    <s v="Lalit Kothari"/>
    <s v="Female"/>
    <s v="Finance"/>
    <n v="34"/>
    <d v="2021-12-20T00:00:00"/>
    <n v="60130"/>
    <s v="Average"/>
    <s v="IND"/>
    <n v="3.3013698630136985"/>
    <n v="1804"/>
    <n v="3"/>
    <x v="2"/>
  </r>
  <r>
    <s v="Jehu Rudeforth"/>
    <s v="Female"/>
    <s v="Finance"/>
    <n v="34"/>
    <d v="2022-02-20T00:00:00"/>
    <n v="60130"/>
    <s v="Average"/>
    <s v="NZ"/>
    <n v="3.1315068493150684"/>
    <n v="1804"/>
    <n v="3"/>
    <x v="0"/>
  </r>
  <r>
    <s v="Mardav Ramaswami"/>
    <s v="Male"/>
    <s v="Procurement"/>
    <n v="30"/>
    <d v="2022-02-15T00:00:00"/>
    <n v="60570"/>
    <s v="Average"/>
    <s v="IND"/>
    <n v="3.1452054794520548"/>
    <n v="1818"/>
    <n v="3"/>
    <x v="0"/>
  </r>
  <r>
    <s v="Mallorie Waber"/>
    <s v="Male"/>
    <s v="Procurement"/>
    <n v="30"/>
    <d v="2022-04-15T00:00:00"/>
    <n v="60570"/>
    <s v="Average"/>
    <s v="NZ"/>
    <n v="2.9835616438356163"/>
    <n v="1212"/>
    <n v="3"/>
    <x v="0"/>
  </r>
  <r>
    <s v="Fullara Sushanti Mokate"/>
    <s v="Female"/>
    <s v="Website"/>
    <n v="24"/>
    <d v="2020-09-13T00:00:00"/>
    <n v="62780"/>
    <s v="Average"/>
    <s v="IND"/>
    <n v="4.5698630136986305"/>
    <n v="1884"/>
    <n v="3"/>
    <x v="1"/>
  </r>
  <r>
    <s v="Vic Radolf"/>
    <s v="Female"/>
    <s v="Website"/>
    <n v="24"/>
    <d v="2020-11-13T00:00:00"/>
    <n v="62780"/>
    <s v="Average"/>
    <s v="NZ"/>
    <n v="4.4027397260273968"/>
    <n v="1884"/>
    <n v="3"/>
    <x v="1"/>
  </r>
  <r>
    <s v="Upendra Swati"/>
    <s v="Not found"/>
    <s v="Finance"/>
    <n v="30"/>
    <d v="2021-12-05T00:00:00"/>
    <n v="64000"/>
    <s v="Average"/>
    <s v="IND"/>
    <n v="3.3424657534246576"/>
    <n v="1920"/>
    <n v="3"/>
    <x v="2"/>
  </r>
  <r>
    <s v="Curtice Advani"/>
    <s v="Not found"/>
    <s v="Finance"/>
    <n v="30"/>
    <d v="2022-02-05T00:00:00"/>
    <n v="64000"/>
    <s v="Average"/>
    <s v="NZ"/>
    <n v="3.1726027397260275"/>
    <n v="1920"/>
    <n v="3"/>
    <x v="0"/>
  </r>
  <r>
    <s v="Kevalkumar Solanki"/>
    <s v="Female"/>
    <s v="Finance"/>
    <n v="33"/>
    <d v="2020-06-24T00:00:00"/>
    <n v="65360"/>
    <s v="Average"/>
    <s v="IND"/>
    <n v="4.7917808219178086"/>
    <n v="1961"/>
    <n v="3"/>
    <x v="1"/>
  </r>
  <r>
    <s v="Teressa Udden"/>
    <s v="Female"/>
    <s v="Finance"/>
    <n v="33"/>
    <d v="2020-08-24T00:00:00"/>
    <n v="65360"/>
    <s v="Average"/>
    <s v="NZ"/>
    <n v="4.624657534246575"/>
    <n v="1961"/>
    <n v="3"/>
    <x v="1"/>
  </r>
  <r>
    <s v="Abhaya Priyavardhan"/>
    <s v="Male"/>
    <s v="Sales"/>
    <n v="25"/>
    <d v="2021-05-06T00:00:00"/>
    <n v="65700"/>
    <s v="Average"/>
    <s v="IND"/>
    <n v="3.9260273972602739"/>
    <n v="1971"/>
    <n v="3"/>
    <x v="2"/>
  </r>
  <r>
    <s v="Kath Bletsoe"/>
    <s v="Male"/>
    <s v="Sales"/>
    <n v="25"/>
    <d v="2021-07-06T00:00:00"/>
    <n v="65700"/>
    <s v="Average"/>
    <s v="NZ"/>
    <n v="3.7589041095890412"/>
    <n v="1971"/>
    <n v="3"/>
    <x v="2"/>
  </r>
  <r>
    <s v="Agrata Rajarama"/>
    <s v="Female"/>
    <s v="Finance"/>
    <n v="21"/>
    <d v="2021-03-01T00:00:00"/>
    <n v="65920"/>
    <s v="Average"/>
    <s v="IND"/>
    <n v="4.1068493150684935"/>
    <n v="1978"/>
    <n v="3"/>
    <x v="2"/>
  </r>
  <r>
    <s v="Marney O'Breen"/>
    <s v="Female"/>
    <s v="Finance"/>
    <n v="21"/>
    <d v="2021-05-01T00:00:00"/>
    <n v="65920"/>
    <s v="Average"/>
    <s v="NZ"/>
    <n v="3.9397260273972603"/>
    <n v="1978"/>
    <n v="3"/>
    <x v="2"/>
  </r>
  <r>
    <s v="Kantimoy Pritish"/>
    <s v="Female"/>
    <s v="Finance"/>
    <n v="30"/>
    <d v="2021-05-12T00:00:00"/>
    <n v="67910"/>
    <s v="Poor"/>
    <s v="IND"/>
    <n v="3.9095890410958902"/>
    <n v="2038"/>
    <n v="2"/>
    <x v="2"/>
  </r>
  <r>
    <s v="Husein Augar"/>
    <s v="Female"/>
    <s v="Finance"/>
    <n v="30"/>
    <d v="2021-07-12T00:00:00"/>
    <n v="67910"/>
    <s v="Poor"/>
    <s v="NZ"/>
    <n v="3.7424657534246575"/>
    <n v="2038"/>
    <n v="2"/>
    <x v="2"/>
  </r>
  <r>
    <s v="Mahindra Sreedharan"/>
    <s v="Male"/>
    <s v="Procurement"/>
    <n v="30"/>
    <d v="2022-03-20T00:00:00"/>
    <n v="67950"/>
    <s v="Average"/>
    <s v="IND"/>
    <n v="3.0547945205479454"/>
    <n v="2039"/>
    <n v="3"/>
    <x v="0"/>
  </r>
  <r>
    <s v="Ebonee Roxburgh"/>
    <s v="Male"/>
    <s v="Procurement"/>
    <n v="30"/>
    <d v="2022-05-20T00:00:00"/>
    <n v="67950"/>
    <s v="Average"/>
    <s v="NZ"/>
    <n v="2.8876712328767122"/>
    <n v="1359"/>
    <n v="3"/>
    <x v="0"/>
  </r>
  <r>
    <s v="Devasree Fullara Saurin"/>
    <s v="Female"/>
    <s v="Sales"/>
    <n v="20"/>
    <d v="2021-10-07T00:00:00"/>
    <n v="68900"/>
    <s v="Poor"/>
    <s v="IND"/>
    <n v="3.504109589041096"/>
    <n v="2067"/>
    <n v="2"/>
    <x v="2"/>
  </r>
  <r>
    <s v="Hyacinthie Braybrooke"/>
    <s v="Female"/>
    <s v="Sales"/>
    <n v="20"/>
    <d v="2021-12-07T00:00:00"/>
    <n v="68900"/>
    <s v="Poor"/>
    <s v="NZ"/>
    <n v="3.3369863013698629"/>
    <n v="2067"/>
    <n v="2"/>
    <x v="2"/>
  </r>
  <r>
    <s v="Jaishree Atasi Yavatkar"/>
    <s v="Male"/>
    <s v="Website"/>
    <n v="37"/>
    <d v="2022-03-20T00:00:00"/>
    <n v="69070"/>
    <s v="Average"/>
    <s v="IND"/>
    <n v="3.0547945205479454"/>
    <n v="2073"/>
    <n v="3"/>
    <x v="0"/>
  </r>
  <r>
    <s v="Murry Dryburgh"/>
    <s v="Male"/>
    <s v="Website"/>
    <n v="37"/>
    <d v="2022-05-20T00:00:00"/>
    <n v="69070"/>
    <s v="Average"/>
    <s v="NZ"/>
    <n v="2.8876712328767122"/>
    <n v="1382"/>
    <n v="3"/>
    <x v="0"/>
  </r>
  <r>
    <s v="Rameshwari Chikodi"/>
    <s v="Male"/>
    <s v="Website"/>
    <n v="30"/>
    <d v="2021-01-18T00:00:00"/>
    <n v="69120"/>
    <s v="Average"/>
    <s v="IND"/>
    <n v="4.2219178082191782"/>
    <n v="2074"/>
    <n v="3"/>
    <x v="2"/>
  </r>
  <r>
    <s v="Andria Kimpton"/>
    <s v="Male"/>
    <s v="Website"/>
    <n v="30"/>
    <d v="2021-03-18T00:00:00"/>
    <n v="69120"/>
    <s v="Average"/>
    <s v="NZ"/>
    <n v="4.0602739726027401"/>
    <n v="2074"/>
    <n v="3"/>
    <x v="2"/>
  </r>
  <r>
    <s v="Shekhar Eswara"/>
    <s v="Male"/>
    <s v="Website"/>
    <n v="30"/>
    <d v="2022-08-16T00:00:00"/>
    <n v="69710"/>
    <s v="Average"/>
    <s v="IND"/>
    <n v="2.6465753424657534"/>
    <n v="1395"/>
    <n v="3"/>
    <x v="0"/>
  </r>
  <r>
    <s v="Myer McCory"/>
    <s v="Male"/>
    <s v="Website"/>
    <n v="30"/>
    <d v="2022-10-16T00:00:00"/>
    <n v="69710"/>
    <s v="Average"/>
    <s v="NZ"/>
    <n v="2.4794520547945207"/>
    <n v="1395"/>
    <n v="3"/>
    <x v="0"/>
  </r>
  <r>
    <s v="Chandana Sannidhi Surnilla"/>
    <s v="Male"/>
    <s v="Finance"/>
    <n v="42"/>
    <d v="2022-04-19T00:00:00"/>
    <n v="70270"/>
    <s v="Poor"/>
    <s v="IND"/>
    <n v="2.9726027397260273"/>
    <n v="1406"/>
    <n v="2"/>
    <x v="0"/>
  </r>
  <r>
    <s v="Shayne Stegel"/>
    <s v="Male"/>
    <s v="Finance"/>
    <n v="42"/>
    <d v="2022-06-19T00:00:00"/>
    <n v="70270"/>
    <s v="Poor"/>
    <s v="NZ"/>
    <n v="2.8054794520547945"/>
    <n v="1406"/>
    <n v="2"/>
    <x v="0"/>
  </r>
  <r>
    <s v="Ranajay Kailashnath Richa"/>
    <s v="Male"/>
    <s v="Procurement"/>
    <n v="46"/>
    <d v="2022-05-16T00:00:00"/>
    <n v="70610"/>
    <s v="Average"/>
    <s v="IND"/>
    <n v="2.8986301369863012"/>
    <n v="1413"/>
    <n v="3"/>
    <x v="0"/>
  </r>
  <r>
    <s v="Ambros Murthwaite"/>
    <s v="Male"/>
    <s v="Procurement"/>
    <n v="46"/>
    <d v="2022-07-16T00:00:00"/>
    <n v="70610"/>
    <s v="Average"/>
    <s v="NZ"/>
    <n v="2.7315068493150685"/>
    <n v="1413"/>
    <n v="3"/>
    <x v="0"/>
  </r>
  <r>
    <s v="Kulbhushan Moorthy"/>
    <s v="Male"/>
    <s v="Finance"/>
    <n v="36"/>
    <d v="2021-03-17T00:00:00"/>
    <n v="71380"/>
    <s v="Average"/>
    <s v="IND"/>
    <n v="4.0630136986301366"/>
    <n v="2142"/>
    <n v="3"/>
    <x v="2"/>
  </r>
  <r>
    <s v="Bennie Pepis"/>
    <s v="Male"/>
    <s v="Finance"/>
    <n v="36"/>
    <d v="2021-05-17T00:00:00"/>
    <n v="71380"/>
    <s v="Average"/>
    <s v="NZ"/>
    <n v="3.8958904109589043"/>
    <n v="2142"/>
    <n v="3"/>
    <x v="2"/>
  </r>
  <r>
    <s v="Yauvani Tarpa"/>
    <s v="Male"/>
    <s v="Sales"/>
    <n v="33"/>
    <d v="2021-05-08T00:00:00"/>
    <n v="74550"/>
    <s v="Average"/>
    <s v="IND"/>
    <n v="3.9205479452054797"/>
    <n v="2237"/>
    <n v="3"/>
    <x v="2"/>
  </r>
  <r>
    <s v="Gigi Bohling"/>
    <s v="Male"/>
    <s v="Sales"/>
    <n v="33"/>
    <d v="2021-07-08T00:00:00"/>
    <n v="74550"/>
    <s v="Average"/>
    <s v="NZ"/>
    <n v="3.7534246575342465"/>
    <n v="2237"/>
    <n v="3"/>
    <x v="2"/>
  </r>
  <r>
    <s v="Nanak Sapna"/>
    <s v="Female"/>
    <s v="Procurement"/>
    <n v="42"/>
    <d v="2022-06-06T00:00:00"/>
    <n v="75000"/>
    <s v="Exceptional"/>
    <s v="IND"/>
    <n v="2.8410958904109589"/>
    <n v="1500"/>
    <n v="5"/>
    <x v="0"/>
  </r>
  <r>
    <s v="Barr Faughny"/>
    <s v="Female"/>
    <s v="Procurement"/>
    <n v="42"/>
    <d v="2022-08-06T00:00:00"/>
    <n v="75000"/>
    <s v="Exceptional"/>
    <s v="NZ"/>
    <n v="2.6739726027397261"/>
    <n v="1500"/>
    <n v="5"/>
    <x v="0"/>
  </r>
  <r>
    <s v="Hemavati Muthiah"/>
    <s v="Female"/>
    <s v="Website"/>
    <n v="33"/>
    <d v="2021-02-26T00:00:00"/>
    <n v="75280"/>
    <s v="Average"/>
    <s v="IND"/>
    <n v="4.1150684931506847"/>
    <n v="2259"/>
    <n v="3"/>
    <x v="2"/>
  </r>
  <r>
    <s v="Elia Cockton"/>
    <s v="Female"/>
    <s v="Website"/>
    <n v="33"/>
    <d v="2021-04-26T00:00:00"/>
    <n v="75280"/>
    <s v="Average"/>
    <s v="NZ"/>
    <n v="3.9534246575342467"/>
    <n v="2259"/>
    <n v="3"/>
    <x v="2"/>
  </r>
  <r>
    <s v="Ayog Chakrabarti"/>
    <s v="Female"/>
    <s v="Website"/>
    <n v="33"/>
    <d v="2021-04-27T00:00:00"/>
    <n v="75480"/>
    <s v="Very poor"/>
    <s v="IND"/>
    <n v="3.9506849315068493"/>
    <n v="2265"/>
    <n v="1"/>
    <x v="2"/>
  </r>
  <r>
    <s v="Camilla Castle"/>
    <s v="Female"/>
    <s v="Website"/>
    <n v="33"/>
    <d v="2021-06-27T00:00:00"/>
    <n v="75480"/>
    <s v="Very poor"/>
    <s v="NZ"/>
    <n v="3.7835616438356166"/>
    <n v="2265"/>
    <n v="1"/>
    <x v="2"/>
  </r>
  <r>
    <s v="Sameer Shashank Sapra"/>
    <s v="Male"/>
    <s v="HR"/>
    <n v="21"/>
    <d v="2020-12-15T00:00:00"/>
    <n v="75880"/>
    <s v="Average"/>
    <s v="IND"/>
    <n v="4.3150684931506849"/>
    <n v="2277"/>
    <n v="3"/>
    <x v="1"/>
  </r>
  <r>
    <s v="Shari McNee"/>
    <s v="Male"/>
    <s v="HR"/>
    <n v="21"/>
    <d v="2021-02-15T00:00:00"/>
    <n v="75880"/>
    <s v="Average"/>
    <s v="NZ"/>
    <n v="4.1452054794520548"/>
    <n v="2277"/>
    <n v="3"/>
    <x v="2"/>
  </r>
  <r>
    <s v="Indu Varada Sumedh"/>
    <s v="Female"/>
    <s v="Finance"/>
    <n v="28"/>
    <d v="2020-10-20T00:00:00"/>
    <n v="75970"/>
    <s v="Average"/>
    <s v="IND"/>
    <n v="4.4684931506849317"/>
    <n v="2280"/>
    <n v="3"/>
    <x v="1"/>
  </r>
  <r>
    <s v="Beverie Moffet"/>
    <s v="Female"/>
    <s v="Finance"/>
    <n v="28"/>
    <d v="2020-12-20T00:00:00"/>
    <n v="75970"/>
    <s v="Average"/>
    <s v="NZ"/>
    <n v="4.3013698630136989"/>
    <n v="2280"/>
    <n v="3"/>
    <x v="1"/>
  </r>
  <r>
    <s v="Shreela Ramasubraman"/>
    <s v="Female"/>
    <s v="Procurement"/>
    <n v="22"/>
    <d v="2021-07-11T00:00:00"/>
    <n v="76900"/>
    <s v="Above average"/>
    <s v="IND"/>
    <n v="3.7452054794520548"/>
    <n v="2307"/>
    <n v="4"/>
    <x v="2"/>
  </r>
  <r>
    <s v="Virginia McConville"/>
    <s v="Female"/>
    <s v="Procurement"/>
    <n v="22"/>
    <d v="2021-09-11T00:00:00"/>
    <n v="76900"/>
    <s v="Above average"/>
    <s v="NZ"/>
    <n v="3.5753424657534247"/>
    <n v="2307"/>
    <n v="4"/>
    <x v="2"/>
  </r>
  <r>
    <s v="Rushil Kripa"/>
    <s v="Female"/>
    <s v="Procurement"/>
    <n v="36"/>
    <d v="2021-09-29T00:00:00"/>
    <n v="78390"/>
    <s v="Average"/>
    <s v="IND"/>
    <n v="3.526027397260274"/>
    <n v="2352"/>
    <n v="3"/>
    <x v="2"/>
  </r>
  <r>
    <s v="Allene Gobbet"/>
    <s v="Female"/>
    <s v="Procurement"/>
    <n v="36"/>
    <d v="2021-11-29T00:00:00"/>
    <n v="78390"/>
    <s v="Average"/>
    <s v="NZ"/>
    <n v="3.3589041095890413"/>
    <n v="2352"/>
    <n v="3"/>
    <x v="2"/>
  </r>
  <r>
    <s v="Shulabh Qutub Sundaramoorthy"/>
    <s v="Female"/>
    <s v="Sales"/>
    <n v="36"/>
    <d v="2021-08-25T00:00:00"/>
    <n v="78540"/>
    <s v="Average"/>
    <s v="IND"/>
    <n v="3.6219178082191781"/>
    <n v="2357"/>
    <n v="3"/>
    <x v="2"/>
  </r>
  <r>
    <s v="Gray Seamon"/>
    <s v="Female"/>
    <s v="Sales"/>
    <n v="36"/>
    <d v="2021-10-25T00:00:00"/>
    <n v="78540"/>
    <s v="Average"/>
    <s v="NZ"/>
    <n v="3.4547945205479453"/>
    <n v="2357"/>
    <n v="3"/>
    <x v="2"/>
  </r>
  <r>
    <s v="Udyan Lanka"/>
    <s v="Male"/>
    <s v="Procurement"/>
    <n v="20"/>
    <d v="2022-05-02T00:00:00"/>
    <n v="79570"/>
    <s v="Average"/>
    <s v="IND"/>
    <n v="2.9369863013698629"/>
    <n v="1592"/>
    <n v="3"/>
    <x v="0"/>
  </r>
  <r>
    <s v="Kellsie Waby"/>
    <s v="Male"/>
    <s v="Procurement"/>
    <n v="20"/>
    <d v="2022-07-02T00:00:00"/>
    <n v="79570"/>
    <s v="Average"/>
    <s v="NZ"/>
    <n v="2.7698630136986302"/>
    <n v="1592"/>
    <n v="3"/>
    <x v="0"/>
  </r>
  <r>
    <s v="Bhuvan Pals"/>
    <s v="Female"/>
    <s v="Website"/>
    <n v="25"/>
    <d v="2022-03-13T00:00:00"/>
    <n v="80700"/>
    <s v="Above average"/>
    <s v="IND"/>
    <n v="3.0739726027397261"/>
    <n v="2421"/>
    <n v="4"/>
    <x v="0"/>
  </r>
  <r>
    <s v="Van Tuxwell"/>
    <s v="Female"/>
    <s v="Website"/>
    <n v="25"/>
    <d v="2022-05-13T00:00:00"/>
    <n v="80700"/>
    <s v="Above average"/>
    <s v="NZ"/>
    <n v="2.9068493150684933"/>
    <n v="1614"/>
    <n v="4"/>
    <x v="0"/>
  </r>
  <r>
    <s v="Kunja Prashanta Vibha"/>
    <s v="Female"/>
    <s v="Website"/>
    <n v="27"/>
    <d v="2022-03-05T00:00:00"/>
    <n v="83750"/>
    <s v="Average"/>
    <s v="IND"/>
    <n v="3.095890410958904"/>
    <n v="2513"/>
    <n v="3"/>
    <x v="0"/>
  </r>
  <r>
    <s v="Agnes Collicott"/>
    <s v="Female"/>
    <s v="Website"/>
    <n v="27"/>
    <d v="2022-05-05T00:00:00"/>
    <n v="83750"/>
    <s v="Average"/>
    <s v="NZ"/>
    <n v="2.9287671232876713"/>
    <n v="1675"/>
    <n v="3"/>
    <x v="0"/>
  </r>
  <r>
    <s v="Tarala Vishaal"/>
    <s v="Female"/>
    <s v="Finance"/>
    <n v="34"/>
    <d v="2021-07-20T00:00:00"/>
    <n v="85000"/>
    <s v="Average"/>
    <s v="IND"/>
    <n v="3.7205479452054795"/>
    <n v="2550"/>
    <n v="3"/>
    <x v="2"/>
  </r>
  <r>
    <s v="Karlen McCaffrey"/>
    <s v="Female"/>
    <s v="Finance"/>
    <n v="34"/>
    <d v="2021-09-20T00:00:00"/>
    <n v="85000"/>
    <s v="Average"/>
    <s v="NZ"/>
    <n v="3.5506849315068494"/>
    <n v="2550"/>
    <n v="3"/>
    <x v="2"/>
  </r>
  <r>
    <s v="Madhumati Gazala Soumitra"/>
    <s v="Female"/>
    <s v="Finance"/>
    <n v="33"/>
    <d v="2022-07-05T00:00:00"/>
    <n v="86570"/>
    <s v="Average"/>
    <s v="IND"/>
    <n v="2.7616438356164386"/>
    <n v="1732"/>
    <n v="3"/>
    <x v="0"/>
  </r>
  <r>
    <s v="Sibyl Dunkirk"/>
    <s v="Female"/>
    <s v="Finance"/>
    <n v="33"/>
    <d v="2022-09-05T00:00:00"/>
    <n v="86570"/>
    <s v="Average"/>
    <s v="NZ"/>
    <n v="2.591780821917808"/>
    <n v="1732"/>
    <n v="3"/>
    <x v="0"/>
  </r>
  <r>
    <s v="Godavari Veena"/>
    <s v="Female"/>
    <s v="Website"/>
    <n v="40"/>
    <d v="2021-03-21T00:00:00"/>
    <n v="87620"/>
    <s v="Average"/>
    <s v="IND"/>
    <n v="4.0520547945205481"/>
    <n v="2629"/>
    <n v="3"/>
    <x v="2"/>
  </r>
  <r>
    <s v="Merrilee Plenty"/>
    <s v="Female"/>
    <s v="Website"/>
    <n v="40"/>
    <d v="2021-05-21T00:00:00"/>
    <n v="87620"/>
    <s v="Average"/>
    <s v="NZ"/>
    <n v="3.8849315068493149"/>
    <n v="2629"/>
    <n v="3"/>
    <x v="2"/>
  </r>
  <r>
    <s v="Gangadutt Ragha"/>
    <s v="Male"/>
    <s v="Website"/>
    <n v="37"/>
    <d v="2021-03-22T00:00:00"/>
    <n v="88050"/>
    <s v="Poor"/>
    <s v="IND"/>
    <n v="4.0493150684931507"/>
    <n v="2642"/>
    <n v="2"/>
    <x v="2"/>
  </r>
  <r>
    <s v="Ches Bonnell"/>
    <s v="Male"/>
    <s v="Website"/>
    <n v="37"/>
    <d v="2021-05-22T00:00:00"/>
    <n v="88050"/>
    <s v="Poor"/>
    <s v="NZ"/>
    <n v="3.882191780821918"/>
    <n v="2642"/>
    <n v="2"/>
    <x v="2"/>
  </r>
  <r>
    <s v="Karuna Pashupathy"/>
    <s v="Not found"/>
    <s v="Website"/>
    <n v="27"/>
    <d v="2021-01-16T00:00:00"/>
    <n v="90700"/>
    <s v="Above average"/>
    <s v="IND"/>
    <n v="4.2273972602739729"/>
    <n v="2721"/>
    <n v="4"/>
    <x v="2"/>
  </r>
  <r>
    <s v="Dennison Crosswaite"/>
    <s v="Not found"/>
    <s v="Website"/>
    <n v="26"/>
    <d v="2021-03-16T00:00:00"/>
    <n v="90700"/>
    <s v="Above average"/>
    <s v="NZ"/>
    <n v="4.065753424657534"/>
    <n v="2721"/>
    <n v="4"/>
    <x v="2"/>
  </r>
  <r>
    <s v="Rukma Vinita"/>
    <s v="Not found"/>
    <s v="Website"/>
    <n v="32"/>
    <d v="2022-06-01T00:00:00"/>
    <n v="91310"/>
    <s v="Average"/>
    <s v="IND"/>
    <n v="2.8547945205479452"/>
    <n v="1827"/>
    <n v="3"/>
    <x v="0"/>
  </r>
  <r>
    <s v="Madge McCloughen"/>
    <s v="Not found"/>
    <s v="Website"/>
    <n v="32"/>
    <d v="2022-08-01T00:00:00"/>
    <n v="91310"/>
    <s v="Average"/>
    <s v="NZ"/>
    <n v="2.6876712328767125"/>
    <n v="1827"/>
    <n v="3"/>
    <x v="0"/>
  </r>
  <r>
    <s v="Kamalakshi Mukundan"/>
    <s v="Male"/>
    <s v="Finance"/>
    <n v="27"/>
    <d v="2020-12-09T00:00:00"/>
    <n v="91650"/>
    <s v="Above average"/>
    <s v="IND"/>
    <n v="4.3315068493150681"/>
    <n v="2750"/>
    <n v="4"/>
    <x v="1"/>
  </r>
  <r>
    <s v="Enoch Dowrey"/>
    <s v="Male"/>
    <s v="Finance"/>
    <n v="27"/>
    <d v="2021-02-09T00:00:00"/>
    <n v="91650"/>
    <s v="Above average"/>
    <s v="NZ"/>
    <n v="4.161643835616438"/>
    <n v="2750"/>
    <n v="4"/>
    <x v="2"/>
  </r>
  <r>
    <s v="Deepit Ranjana"/>
    <s v="Female"/>
    <s v="Finance"/>
    <n v="34"/>
    <d v="2021-07-06T00:00:00"/>
    <n v="92450"/>
    <s v="Average"/>
    <s v="IND"/>
    <n v="3.7589041095890412"/>
    <n v="2774"/>
    <n v="3"/>
    <x v="2"/>
  </r>
  <r>
    <s v="Leilah Yesinin"/>
    <s v="Female"/>
    <s v="Finance"/>
    <n v="34"/>
    <d v="2021-09-06T00:00:00"/>
    <n v="92450"/>
    <s v="Average"/>
    <s v="NZ"/>
    <n v="3.5890410958904111"/>
    <n v="2774"/>
    <n v="3"/>
    <x v="2"/>
  </r>
  <r>
    <s v="Purnendu Vijayarangan"/>
    <s v="Female"/>
    <s v="Sales"/>
    <n v="25"/>
    <d v="2020-11-09T00:00:00"/>
    <n v="92700"/>
    <s v="Average"/>
    <s v="IND"/>
    <n v="4.4136986301369863"/>
    <n v="2781"/>
    <n v="3"/>
    <x v="1"/>
  </r>
  <r>
    <s v="Hinda Label"/>
    <s v="Female"/>
    <s v="Sales"/>
    <n v="25"/>
    <d v="2021-01-09T00:00:00"/>
    <n v="92700"/>
    <s v="Average"/>
    <s v="NZ"/>
    <n v="4.2465753424657535"/>
    <n v="2781"/>
    <n v="3"/>
    <x v="2"/>
  </r>
  <r>
    <s v="Sukhdev Nageshwar"/>
    <s v="Female"/>
    <s v="Website"/>
    <n v="33"/>
    <d v="2020-10-25T00:00:00"/>
    <n v="96140"/>
    <s v="Average"/>
    <s v="IND"/>
    <n v="4.4547945205479449"/>
    <n v="2885"/>
    <n v="3"/>
    <x v="1"/>
  </r>
  <r>
    <s v="Torrance Collier"/>
    <s v="Female"/>
    <s v="Website"/>
    <n v="33"/>
    <d v="2020-12-25T00:00:00"/>
    <n v="96140"/>
    <s v="Average"/>
    <s v="NZ"/>
    <n v="4.2876712328767121"/>
    <n v="2885"/>
    <n v="3"/>
    <x v="1"/>
  </r>
  <r>
    <s v="Mithil Nadkarni"/>
    <s v="Male"/>
    <s v="Finance"/>
    <n v="30"/>
    <d v="2021-12-14T00:00:00"/>
    <n v="96800"/>
    <s v="Average"/>
    <s v="IND"/>
    <n v="3.3178082191780822"/>
    <n v="2904"/>
    <n v="3"/>
    <x v="2"/>
  </r>
  <r>
    <s v="Constantino Espley"/>
    <s v="Male"/>
    <s v="Finance"/>
    <n v="30"/>
    <d v="2022-02-14T00:00:00"/>
    <n v="96800"/>
    <s v="Average"/>
    <s v="NZ"/>
    <n v="3.1479452054794521"/>
    <n v="2904"/>
    <n v="3"/>
    <x v="0"/>
  </r>
  <r>
    <s v="Baruna Ogale"/>
    <s v="Male"/>
    <s v="Procurement"/>
    <n v="40"/>
    <d v="2021-01-08T00:00:00"/>
    <n v="99750"/>
    <s v="Average"/>
    <s v="IND"/>
    <n v="4.2493150684931509"/>
    <n v="2993"/>
    <n v="3"/>
    <x v="2"/>
  </r>
  <r>
    <s v="Simon Kembery"/>
    <s v="Male"/>
    <s v="Procurement"/>
    <n v="40"/>
    <d v="2021-03-08T00:00:00"/>
    <n v="99750"/>
    <s v="Average"/>
    <s v="NZ"/>
    <n v="4.087671232876712"/>
    <n v="2993"/>
    <n v="3"/>
    <x v="2"/>
  </r>
  <r>
    <s v="Vasu Nandin"/>
    <s v="Female"/>
    <s v="Procurement"/>
    <n v="28"/>
    <d v="2022-01-10T00:00:00"/>
    <n v="99970"/>
    <s v="Average"/>
    <s v="IND"/>
    <n v="3.2438356164383562"/>
    <n v="3000"/>
    <n v="3"/>
    <x v="0"/>
  </r>
  <r>
    <s v="Bernie Gorges"/>
    <s v="Female"/>
    <s v="Procurement"/>
    <n v="28"/>
    <d v="2022-03-10T00:00:00"/>
    <n v="99970"/>
    <s v="Average"/>
    <s v="NZ"/>
    <n v="3.0821917808219177"/>
    <n v="3000"/>
    <n v="3"/>
    <x v="0"/>
  </r>
  <r>
    <s v="Amlankusum Rajabhushan"/>
    <s v="Male"/>
    <s v="Website"/>
    <n v="24"/>
    <d v="2022-03-05T00:00:00"/>
    <n v="100420"/>
    <s v="Average"/>
    <s v="IND"/>
    <n v="3.095890410958904"/>
    <n v="3013"/>
    <n v="3"/>
    <x v="0"/>
  </r>
  <r>
    <s v="Collin Jagson"/>
    <s v="Male"/>
    <s v="Website"/>
    <n v="24"/>
    <d v="2022-05-05T00:00:00"/>
    <n v="100420"/>
    <s v="Average"/>
    <s v="NZ"/>
    <n v="2.9287671232876713"/>
    <n v="2009"/>
    <n v="3"/>
    <x v="0"/>
  </r>
  <r>
    <s v="Satyendra Venkatadri"/>
    <s v="Male"/>
    <s v="Procurement"/>
    <n v="31"/>
    <d v="2022-04-12T00:00:00"/>
    <n v="103550"/>
    <s v="Average"/>
    <s v="IND"/>
    <n v="2.9917808219178084"/>
    <n v="2071"/>
    <n v="3"/>
    <x v="0"/>
  </r>
  <r>
    <s v="Dyna Doucette"/>
    <s v="Male"/>
    <s v="Procurement"/>
    <n v="31"/>
    <d v="2022-06-12T00:00:00"/>
    <n v="103550"/>
    <s v="Average"/>
    <s v="NZ"/>
    <n v="2.8246575342465752"/>
    <n v="2071"/>
    <n v="3"/>
    <x v="0"/>
  </r>
  <r>
    <s v="Sartaj Probal"/>
    <s v="Female"/>
    <s v="Procurement"/>
    <n v="28"/>
    <d v="2022-01-29T00:00:00"/>
    <n v="104120"/>
    <s v="Average"/>
    <s v="IND"/>
    <n v="3.1917808219178081"/>
    <n v="3124"/>
    <n v="3"/>
    <x v="0"/>
  </r>
  <r>
    <s v="Cherlyn Barter"/>
    <s v="Female"/>
    <s v="Procurement"/>
    <n v="28"/>
    <d v="2022-03-29T00:00:00"/>
    <n v="104120"/>
    <s v="Average"/>
    <s v="NZ"/>
    <n v="3.0301369863013701"/>
    <n v="3124"/>
    <n v="3"/>
    <x v="0"/>
  </r>
  <r>
    <s v="Manjusri Ruchi"/>
    <s v="Female"/>
    <s v="Website"/>
    <n v="40"/>
    <d v="2021-05-04T00:00:00"/>
    <n v="104410"/>
    <s v="Average"/>
    <s v="IND"/>
    <n v="3.9315068493150687"/>
    <n v="3133"/>
    <n v="3"/>
    <x v="2"/>
  </r>
  <r>
    <s v="Caro Chappel"/>
    <s v="Female"/>
    <s v="Website"/>
    <n v="40"/>
    <d v="2021-07-04T00:00:00"/>
    <n v="104410"/>
    <s v="Average"/>
    <s v="NZ"/>
    <n v="3.7643835616438355"/>
    <n v="3133"/>
    <n v="3"/>
    <x v="2"/>
  </r>
  <r>
    <s v="Shevantilal Muppala"/>
    <s v="Female"/>
    <s v="Procurement"/>
    <n v="28"/>
    <d v="2021-08-17T00:00:00"/>
    <n v="104770"/>
    <s v="Average"/>
    <s v="IND"/>
    <n v="3.6438356164383561"/>
    <n v="3144"/>
    <n v="3"/>
    <x v="2"/>
  </r>
  <r>
    <s v="Janene Hairsine"/>
    <s v="Female"/>
    <s v="Procurement"/>
    <n v="28"/>
    <d v="2021-10-17T00:00:00"/>
    <n v="104770"/>
    <s v="Average"/>
    <s v="NZ"/>
    <n v="3.4767123287671233"/>
    <n v="3144"/>
    <n v="3"/>
    <x v="2"/>
  </r>
  <r>
    <s v="Sahas Sanabhi Shrikant"/>
    <s v="Male"/>
    <s v="Procurement"/>
    <n v="23"/>
    <d v="2021-07-01T00:00:00"/>
    <n v="106460"/>
    <s v="Average"/>
    <s v="IND"/>
    <n v="3.7726027397260276"/>
    <n v="3194"/>
    <n v="3"/>
    <x v="2"/>
  </r>
  <r>
    <s v="Kissiah Maydway"/>
    <s v="Male"/>
    <s v="Procurement"/>
    <n v="23"/>
    <d v="2021-09-01T00:00:00"/>
    <n v="106460"/>
    <s v="Average"/>
    <s v="NZ"/>
    <n v="3.6027397260273974"/>
    <n v="3194"/>
    <n v="3"/>
    <x v="2"/>
  </r>
  <r>
    <s v="Hridaynath Tendulkar"/>
    <s v="Male"/>
    <s v="Website"/>
    <n v="20"/>
    <d v="2021-07-20T00:00:00"/>
    <n v="107700"/>
    <s v="Average"/>
    <s v="IND"/>
    <n v="3.7205479452054795"/>
    <n v="3231"/>
    <n v="3"/>
    <x v="2"/>
  </r>
  <r>
    <s v="Kaine Padly"/>
    <s v="Male"/>
    <s v="Website"/>
    <n v="20"/>
    <d v="2021-09-20T00:00:00"/>
    <n v="107700"/>
    <s v="Average"/>
    <s v="NZ"/>
    <n v="3.5506849315068494"/>
    <n v="3231"/>
    <n v="3"/>
    <x v="2"/>
  </r>
  <r>
    <s v="Sawini Chandan"/>
    <s v="Female"/>
    <s v="Sales"/>
    <n v="38"/>
    <d v="2021-04-30T00:00:00"/>
    <n v="109160"/>
    <s v="Exceptional"/>
    <s v="IND"/>
    <n v="3.9424657534246577"/>
    <n v="3275"/>
    <n v="5"/>
    <x v="2"/>
  </r>
  <r>
    <s v="Rafaelita Blaksland"/>
    <s v="Female"/>
    <s v="Sales"/>
    <n v="38"/>
    <d v="2021-06-30T00:00:00"/>
    <n v="109160"/>
    <s v="Exceptional"/>
    <s v="NZ"/>
    <n v="3.7753424657534245"/>
    <n v="3275"/>
    <n v="5"/>
    <x v="2"/>
  </r>
  <r>
    <s v="Damayanti Thangavadivelu"/>
    <s v="Male"/>
    <s v="Procurement"/>
    <n v="25"/>
    <d v="2022-04-14T00:00:00"/>
    <n v="109190"/>
    <s v="Above average"/>
    <s v="IND"/>
    <n v="2.9863013698630136"/>
    <n v="2184"/>
    <n v="4"/>
    <x v="0"/>
  </r>
  <r>
    <s v="Madelene Upcott"/>
    <s v="Male"/>
    <s v="Procurement"/>
    <n v="25"/>
    <d v="2022-06-14T00:00:00"/>
    <n v="109190"/>
    <s v="Above average"/>
    <s v="NZ"/>
    <n v="2.8191780821917809"/>
    <n v="2184"/>
    <n v="4"/>
    <x v="0"/>
  </r>
  <r>
    <s v="Narois Motiwala"/>
    <s v="Male"/>
    <s v="Website"/>
    <n v="29"/>
    <d v="2020-10-15T00:00:00"/>
    <n v="112110"/>
    <s v="Poor"/>
    <s v="IND"/>
    <n v="4.4821917808219176"/>
    <n v="3364"/>
    <n v="2"/>
    <x v="1"/>
  </r>
  <r>
    <s v="Bev Lashley"/>
    <s v="Male"/>
    <s v="Website"/>
    <n v="29"/>
    <d v="2020-12-15T00:00:00"/>
    <n v="112110"/>
    <s v="Poor"/>
    <s v="NZ"/>
    <n v="4.3150684931506849"/>
    <n v="3364"/>
    <n v="2"/>
    <x v="1"/>
  </r>
  <r>
    <s v="Makshi Vinutha"/>
    <s v="Female"/>
    <s v="Procurement"/>
    <n v="30"/>
    <d v="2022-08-27T00:00:00"/>
    <n v="112570"/>
    <s v="Average"/>
    <s v="IND"/>
    <n v="2.6164383561643834"/>
    <n v="2252"/>
    <n v="3"/>
    <x v="0"/>
  </r>
  <r>
    <s v="Halimeda Kuscha"/>
    <s v="Female"/>
    <s v="Procurement"/>
    <n v="30"/>
    <d v="2022-10-27T00:00:00"/>
    <n v="112570"/>
    <s v="Average"/>
    <s v="NZ"/>
    <n v="2.4493150684931506"/>
    <n v="2252"/>
    <n v="3"/>
    <x v="0"/>
  </r>
  <r>
    <s v="Deepali Charan"/>
    <s v="Male"/>
    <s v="Website"/>
    <n v="20"/>
    <d v="2020-10-18T00:00:00"/>
    <n v="112650"/>
    <s v="Average"/>
    <s v="IND"/>
    <n v="4.4739726027397264"/>
    <n v="3380"/>
    <n v="3"/>
    <x v="1"/>
  </r>
  <r>
    <s v="Bandhula Sathyanna"/>
    <s v="Male"/>
    <s v="Procurement"/>
    <n v="34"/>
    <d v="2022-03-22T00:00:00"/>
    <n v="112650"/>
    <s v="Average"/>
    <s v="IND"/>
    <n v="3.0493150684931507"/>
    <n v="3380"/>
    <n v="3"/>
    <x v="0"/>
  </r>
  <r>
    <s v="Mollie Hanway"/>
    <s v="Male"/>
    <s v="Website"/>
    <n v="20"/>
    <d v="2020-12-18T00:00:00"/>
    <n v="112650"/>
    <s v="Average"/>
    <s v="NZ"/>
    <n v="4.3068493150684928"/>
    <n v="3380"/>
    <n v="3"/>
    <x v="1"/>
  </r>
  <r>
    <s v="Krishnakanta Vellanki"/>
    <s v="Male"/>
    <s v="Sales"/>
    <n v="22"/>
    <d v="2021-07-07T00:00:00"/>
    <n v="112780"/>
    <s v="Above average"/>
    <s v="IND"/>
    <n v="3.7561643835616438"/>
    <n v="3384"/>
    <n v="4"/>
    <x v="2"/>
  </r>
  <r>
    <s v="Lindy Guillet"/>
    <s v="Male"/>
    <s v="Sales"/>
    <n v="22"/>
    <d v="2021-09-07T00:00:00"/>
    <n v="112780"/>
    <s v="Above average"/>
    <s v="NZ"/>
    <n v="3.5863013698630137"/>
    <n v="3384"/>
    <n v="4"/>
    <x v="2"/>
  </r>
  <r>
    <s v="Ilesh Dasgupta"/>
    <s v="Male"/>
    <s v="Procurement"/>
    <n v="27"/>
    <d v="2021-12-17T00:00:00"/>
    <n v="113280"/>
    <s v="Very poor"/>
    <s v="IND"/>
    <n v="3.3095890410958906"/>
    <n v="3399"/>
    <n v="1"/>
    <x v="2"/>
  </r>
  <r>
    <s v="Mahalia Larcher"/>
    <s v="Male"/>
    <s v="Procurement"/>
    <n v="27"/>
    <d v="2022-02-17T00:00:00"/>
    <n v="113280"/>
    <s v="Very poor"/>
    <s v="NZ"/>
    <n v="3.1397260273972605"/>
    <n v="3399"/>
    <n v="1"/>
    <x v="0"/>
  </r>
  <r>
    <s v="Sarojini Naueshwara"/>
    <s v="Female"/>
    <s v="Procurement"/>
    <n v="30"/>
    <d v="2022-08-16T00:00:00"/>
    <n v="114180"/>
    <s v="Average"/>
    <s v="IND"/>
    <n v="2.6465753424657534"/>
    <n v="2284"/>
    <n v="3"/>
    <x v="0"/>
  </r>
  <r>
    <s v="Hogan Iles"/>
    <s v="Female"/>
    <s v="Procurement"/>
    <n v="30"/>
    <d v="2022-10-16T00:00:00"/>
    <n v="114180"/>
    <s v="Average"/>
    <s v="NZ"/>
    <n v="2.4794520547945207"/>
    <n v="2284"/>
    <n v="3"/>
    <x v="0"/>
  </r>
  <r>
    <s v="Ramnath Ravuri"/>
    <s v="Female"/>
    <s v="Website"/>
    <n v="44"/>
    <d v="2023-02-28T00:00:00"/>
    <n v="114870"/>
    <s v="Average"/>
    <s v="IND"/>
    <n v="2.1095890410958904"/>
    <n v="2298"/>
    <n v="3"/>
    <x v="3"/>
  </r>
  <r>
    <s v="Wilone O'Kielt"/>
    <s v="Female"/>
    <s v="Website"/>
    <n v="43"/>
    <d v="2023-04-29T00:00:00"/>
    <n v="114870"/>
    <s v="Average"/>
    <s v="NZ"/>
    <n v="1.9452054794520548"/>
    <n v="2298"/>
    <n v="3"/>
    <x v="3"/>
  </r>
  <r>
    <s v="Dhruv Manjunath"/>
    <s v="Female"/>
    <s v="Procurement"/>
    <n v="36"/>
    <d v="2020-07-11T00:00:00"/>
    <n v="114890"/>
    <s v="Average"/>
    <s v="IND"/>
    <n v="4.7452054794520544"/>
    <n v="3447"/>
    <n v="3"/>
    <x v="1"/>
  </r>
  <r>
    <s v="Tracy Renad"/>
    <s v="Female"/>
    <s v="Procurement"/>
    <n v="36"/>
    <d v="2020-09-11T00:00:00"/>
    <n v="114890"/>
    <s v="Average"/>
    <s v="NZ"/>
    <n v="4.5753424657534243"/>
    <n v="3447"/>
    <n v="3"/>
    <x v="1"/>
  </r>
  <r>
    <s v="Sahila Chandrasekhar"/>
    <s v="Not found"/>
    <s v="Finance"/>
    <n v="37"/>
    <d v="2020-09-11T00:00:00"/>
    <n v="115440"/>
    <s v="Poor"/>
    <s v="IND"/>
    <n v="4.5753424657534243"/>
    <n v="3464"/>
    <n v="2"/>
    <x v="1"/>
  </r>
  <r>
    <s v="Benny Karolovsky"/>
    <s v="Not found"/>
    <s v="Finance"/>
    <n v="37"/>
    <d v="2020-11-11T00:00:00"/>
    <n v="115440"/>
    <s v="Poor"/>
    <s v="NZ"/>
    <n v="4.4082191780821915"/>
    <n v="3464"/>
    <n v="2"/>
    <x v="1"/>
  </r>
  <r>
    <s v="Sarayu Ragunathan"/>
    <s v="Male"/>
    <s v="Procurement"/>
    <n v="33"/>
    <d v="2020-09-29T00:00:00"/>
    <n v="115920"/>
    <s v="Average"/>
    <s v="IND"/>
    <n v="4.5260273972602736"/>
    <n v="3478"/>
    <n v="3"/>
    <x v="1"/>
  </r>
  <r>
    <s v="Roddy Speechley"/>
    <s v="Male"/>
    <s v="Procurement"/>
    <n v="33"/>
    <d v="2020-11-29T00:00:00"/>
    <n v="115920"/>
    <s v="Average"/>
    <s v="NZ"/>
    <n v="4.3589041095890408"/>
    <n v="3478"/>
    <n v="3"/>
    <x v="1"/>
  </r>
  <r>
    <s v="Kaishori Harathi Kateel"/>
    <s v="Female"/>
    <s v="HR"/>
    <n v="37"/>
    <d v="2021-07-12T00:00:00"/>
    <n v="118100"/>
    <s v="Average"/>
    <s v="IND"/>
    <n v="3.7424657534246575"/>
    <n v="3543"/>
    <n v="3"/>
    <x v="2"/>
  </r>
  <r>
    <s v="Valentia Etteridge"/>
    <s v="Female"/>
    <s v="HR"/>
    <n v="37"/>
    <d v="2021-09-12T00:00:00"/>
    <n v="118100"/>
    <s v="Average"/>
    <s v="NZ"/>
    <n v="3.5726027397260274"/>
    <n v="3543"/>
    <n v="3"/>
    <x v="2"/>
  </r>
  <r>
    <s v="Heer Pennathur"/>
    <s v="Male"/>
    <s v="Website"/>
    <n v="36"/>
    <d v="2020-05-07T00:00:00"/>
    <n v="118840"/>
    <s v="Average"/>
    <s v="IND"/>
    <n v="4.9232876712328766"/>
    <n v="3566"/>
    <n v="3"/>
    <x v="1"/>
  </r>
  <r>
    <s v="Tawnya Tickel"/>
    <s v="Male"/>
    <s v="Website"/>
    <n v="36"/>
    <d v="2020-07-07T00:00:00"/>
    <n v="118840"/>
    <s v="Average"/>
    <s v="NZ"/>
    <n v="4.7561643835616438"/>
    <n v="3566"/>
    <n v="3"/>
    <x v="1"/>
  </r>
  <r>
    <s v="Anjushri Chandiramani"/>
    <s v="Female"/>
    <s v="HR"/>
    <n v="27"/>
    <d v="2020-08-18T00:00:00"/>
    <n v="119110"/>
    <s v="Average"/>
    <s v="IND"/>
    <n v="4.6410958904109592"/>
    <n v="3574"/>
    <n v="3"/>
    <x v="1"/>
  </r>
  <r>
    <s v="Ewart Laphorn"/>
    <s v="Female"/>
    <s v="HR"/>
    <n v="27"/>
    <d v="2020-10-18T00:00:00"/>
    <n v="119110"/>
    <s v="Average"/>
    <s v="NZ"/>
    <n v="4.4739726027397264"/>
    <n v="3574"/>
    <n v="3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Deepali Charan"/>
    <s v="Male"/>
    <x v="0"/>
    <n v="20"/>
    <d v="2020-10-18T00:00:00"/>
    <n v="112650"/>
    <s v="Average"/>
    <x v="0"/>
    <n v="4.4739726027397264"/>
    <n v="3380"/>
  </r>
  <r>
    <s v="Yagna Sujeev"/>
    <s v="Female"/>
    <x v="0"/>
    <n v="32"/>
    <d v="2021-04-07T00:00:00"/>
    <n v="43840"/>
    <s v="Above average"/>
    <x v="0"/>
    <n v="4.0054794520547947"/>
    <n v="1316"/>
  </r>
  <r>
    <s v="Satyendra Venkatadri"/>
    <s v="Male"/>
    <x v="1"/>
    <n v="31"/>
    <d v="2022-04-12T00:00:00"/>
    <n v="103550"/>
    <s v="Average"/>
    <x v="0"/>
    <n v="2.9917808219178084"/>
    <n v="2071"/>
  </r>
  <r>
    <s v="Madhavdas Buhpathi"/>
    <s v="Female"/>
    <x v="2"/>
    <n v="32"/>
    <d v="2021-05-23T00:00:00"/>
    <n v="45510"/>
    <s v="Average"/>
    <x v="0"/>
    <n v="3.8794520547945206"/>
    <n v="1366"/>
  </r>
  <r>
    <s v="Sahila Chandrasekhar"/>
    <s v="Not found"/>
    <x v="3"/>
    <n v="37"/>
    <d v="2020-09-11T00:00:00"/>
    <n v="115440"/>
    <s v="Poor"/>
    <x v="0"/>
    <n v="4.5753424657534243"/>
    <n v="3464"/>
  </r>
  <r>
    <s v="Mirium Seemantini Shivakumar"/>
    <s v="Female"/>
    <x v="4"/>
    <n v="38"/>
    <d v="2021-03-13T00:00:00"/>
    <n v="56870"/>
    <s v="Above average"/>
    <x v="0"/>
    <n v="4.0739726027397261"/>
    <n v="1707"/>
  </r>
  <r>
    <s v="Purnendu Vijayarangan"/>
    <s v="Female"/>
    <x v="4"/>
    <n v="25"/>
    <d v="2020-11-09T00:00:00"/>
    <n v="92700"/>
    <s v="Average"/>
    <x v="0"/>
    <n v="4.4136986301369863"/>
    <n v="2781"/>
  </r>
  <r>
    <s v="Rukma Vinita"/>
    <s v="Not found"/>
    <x v="0"/>
    <n v="32"/>
    <d v="2022-06-01T00:00:00"/>
    <n v="91310"/>
    <s v="Average"/>
    <x v="0"/>
    <n v="2.8547945205479452"/>
    <n v="1827"/>
  </r>
  <r>
    <s v="Yauvani Tarpa"/>
    <s v="Male"/>
    <x v="4"/>
    <n v="33"/>
    <d v="2021-05-08T00:00:00"/>
    <n v="74550"/>
    <s v="Average"/>
    <x v="0"/>
    <n v="3.9205479452054797"/>
    <n v="2237"/>
  </r>
  <r>
    <s v="Damayanti Thangavadivelu"/>
    <s v="Male"/>
    <x v="1"/>
    <n v="25"/>
    <d v="2022-04-14T00:00:00"/>
    <n v="109190"/>
    <s v="Above average"/>
    <x v="0"/>
    <n v="2.9863013698630136"/>
    <n v="2184"/>
  </r>
  <r>
    <s v="Manjusri Ruchi"/>
    <s v="Female"/>
    <x v="0"/>
    <n v="40"/>
    <d v="2021-05-04T00:00:00"/>
    <n v="104410"/>
    <s v="Average"/>
    <x v="0"/>
    <n v="3.9315068493150687"/>
    <n v="3133"/>
  </r>
  <r>
    <s v="Mithil Nadkarni"/>
    <s v="Male"/>
    <x v="3"/>
    <n v="30"/>
    <d v="2021-12-14T00:00:00"/>
    <n v="96800"/>
    <s v="Average"/>
    <x v="0"/>
    <n v="3.3178082191780822"/>
    <n v="2904"/>
  </r>
  <r>
    <s v="Ardhendu Abhichandra Jayakar"/>
    <s v="Male"/>
    <x v="3"/>
    <n v="28"/>
    <d v="2020-05-29T00:00:00"/>
    <n v="48170"/>
    <s v="Above average"/>
    <x v="0"/>
    <n v="4.8630136986301373"/>
    <n v="1446"/>
  </r>
  <r>
    <s v="Akbar Sorabhjee"/>
    <s v="Male"/>
    <x v="1"/>
    <n v="21"/>
    <d v="2020-07-30T00:00:00"/>
    <n v="37920"/>
    <s v="Average"/>
    <x v="0"/>
    <n v="4.6931506849315072"/>
    <n v="1138"/>
  </r>
  <r>
    <s v="Bandhula Sathyanna"/>
    <s v="Male"/>
    <x v="1"/>
    <n v="34"/>
    <d v="2022-03-22T00:00:00"/>
    <n v="112650"/>
    <s v="Average"/>
    <x v="0"/>
    <n v="3.0493150684931507"/>
    <n v="3380"/>
  </r>
  <r>
    <s v="Daruka Ghazali"/>
    <s v="Female"/>
    <x v="4"/>
    <n v="34"/>
    <d v="2022-04-09T00:00:00"/>
    <n v="49630"/>
    <s v="Poor"/>
    <x v="0"/>
    <n v="3"/>
    <n v="993"/>
  </r>
  <r>
    <s v="Heer Pennathur"/>
    <s v="Male"/>
    <x v="0"/>
    <n v="36"/>
    <d v="2020-05-07T00:00:00"/>
    <n v="118840"/>
    <s v="Average"/>
    <x v="0"/>
    <n v="4.9232876712328766"/>
    <n v="3566"/>
  </r>
  <r>
    <s v="Shekhar Eswara"/>
    <s v="Male"/>
    <x v="0"/>
    <n v="30"/>
    <d v="2022-08-16T00:00:00"/>
    <n v="69710"/>
    <s v="Average"/>
    <x v="0"/>
    <n v="2.6465753424657534"/>
    <n v="1395"/>
  </r>
  <r>
    <s v="Udyan Lanka"/>
    <s v="Male"/>
    <x v="1"/>
    <n v="20"/>
    <d v="2022-05-02T00:00:00"/>
    <n v="79570"/>
    <s v="Average"/>
    <x v="0"/>
    <n v="2.9369863013698629"/>
    <n v="1592"/>
  </r>
  <r>
    <s v="Shreela Ramasubraman"/>
    <s v="Female"/>
    <x v="1"/>
    <n v="22"/>
    <d v="2021-07-11T00:00:00"/>
    <n v="76900"/>
    <s v="Above average"/>
    <x v="0"/>
    <n v="3.7452054794520548"/>
    <n v="2307"/>
  </r>
  <r>
    <s v="Sanchali Shirish"/>
    <s v="Male"/>
    <x v="4"/>
    <n v="27"/>
    <d v="2020-08-30T00:00:00"/>
    <n v="54970"/>
    <s v="Average"/>
    <x v="0"/>
    <n v="4.6082191780821917"/>
    <n v="1650"/>
  </r>
  <r>
    <s v="Gangadutt Ragha"/>
    <s v="Male"/>
    <x v="0"/>
    <n v="37"/>
    <d v="2021-03-22T00:00:00"/>
    <n v="88050"/>
    <s v="Poor"/>
    <x v="0"/>
    <n v="4.0493150684931507"/>
    <n v="2642"/>
  </r>
  <r>
    <s v="Waheeda Vasuman"/>
    <s v="Male"/>
    <x v="4"/>
    <n v="43"/>
    <d v="2021-12-28T00:00:00"/>
    <n v="36040"/>
    <s v="Average"/>
    <x v="0"/>
    <n v="3.2794520547945205"/>
    <n v="1082"/>
  </r>
  <r>
    <s v="Nanak Sapna"/>
    <s v="Female"/>
    <x v="1"/>
    <n v="42"/>
    <d v="2022-06-06T00:00:00"/>
    <n v="75000"/>
    <s v="Exceptional"/>
    <x v="0"/>
    <n v="2.8410958904109589"/>
    <n v="1500"/>
  </r>
  <r>
    <s v="Shobhana Samuel"/>
    <s v="Male"/>
    <x v="1"/>
    <n v="35"/>
    <d v="2022-04-15T00:00:00"/>
    <n v="40400"/>
    <s v="Average"/>
    <x v="0"/>
    <n v="2.9835616438356163"/>
    <n v="808"/>
  </r>
  <r>
    <s v="Amlankusum Rajabhushan"/>
    <s v="Male"/>
    <x v="0"/>
    <n v="24"/>
    <d v="2022-03-05T00:00:00"/>
    <n v="100420"/>
    <s v="Average"/>
    <x v="0"/>
    <n v="3.095890410958904"/>
    <n v="3013"/>
  </r>
  <r>
    <s v="Pratigya Rema"/>
    <s v="Female"/>
    <x v="0"/>
    <n v="31"/>
    <d v="2022-02-12T00:00:00"/>
    <n v="58100"/>
    <s v="Average"/>
    <x v="0"/>
    <n v="3.1534246575342464"/>
    <n v="1743"/>
  </r>
  <r>
    <s v="Ramnath Ravuri"/>
    <s v="Female"/>
    <x v="0"/>
    <n v="44"/>
    <d v="2023-02-28T00:00:00"/>
    <n v="114870"/>
    <s v="Average"/>
    <x v="0"/>
    <n v="2.1095890410958904"/>
    <n v="2298"/>
  </r>
  <r>
    <s v="Prerana Nishita"/>
    <s v="Female"/>
    <x v="1"/>
    <n v="32"/>
    <d v="2021-12-19T00:00:00"/>
    <n v="41570"/>
    <s v="Average"/>
    <x v="0"/>
    <n v="3.3041095890410959"/>
    <n v="1248"/>
  </r>
  <r>
    <s v="Makshi Vinutha"/>
    <s v="Female"/>
    <x v="1"/>
    <n v="30"/>
    <d v="2022-08-27T00:00:00"/>
    <n v="112570"/>
    <s v="Average"/>
    <x v="0"/>
    <n v="2.6164383561643834"/>
    <n v="2252"/>
  </r>
  <r>
    <s v="Shiuli Sapna"/>
    <s v="Male"/>
    <x v="1"/>
    <n v="26"/>
    <d v="2020-11-29T00:00:00"/>
    <n v="47360"/>
    <s v="Average"/>
    <x v="0"/>
    <n v="4.3589041095890408"/>
    <n v="1421"/>
  </r>
  <r>
    <s v="Agrata Rajarama"/>
    <s v="Female"/>
    <x v="3"/>
    <n v="21"/>
    <d v="2021-03-01T00:00:00"/>
    <n v="65920"/>
    <s v="Average"/>
    <x v="0"/>
    <n v="4.1068493150684935"/>
    <n v="1978"/>
  </r>
  <r>
    <s v="Vasu Nandin"/>
    <s v="Female"/>
    <x v="1"/>
    <n v="28"/>
    <d v="2022-01-10T00:00:00"/>
    <n v="99970"/>
    <s v="Average"/>
    <x v="0"/>
    <n v="3.2438356164383562"/>
    <n v="3000"/>
  </r>
  <r>
    <s v="Bhuvan Pals"/>
    <s v="Female"/>
    <x v="0"/>
    <n v="25"/>
    <d v="2022-03-13T00:00:00"/>
    <n v="80700"/>
    <s v="Above average"/>
    <x v="0"/>
    <n v="3.0739726027397261"/>
    <n v="2421"/>
  </r>
  <r>
    <s v="Gumwant Veera"/>
    <s v="Male"/>
    <x v="3"/>
    <n v="24"/>
    <d v="2021-06-28T00:00:00"/>
    <n v="52610"/>
    <s v="Poor"/>
    <x v="0"/>
    <n v="3.7808219178082192"/>
    <n v="1579"/>
  </r>
  <r>
    <s v="Narois Motiwala"/>
    <s v="Male"/>
    <x v="0"/>
    <n v="29"/>
    <d v="2020-10-15T00:00:00"/>
    <n v="112110"/>
    <s v="Poor"/>
    <x v="0"/>
    <n v="4.4821917808219176"/>
    <n v="3364"/>
  </r>
  <r>
    <s v="Anjushri Chandiramani"/>
    <s v="Female"/>
    <x v="2"/>
    <n v="27"/>
    <d v="2020-08-18T00:00:00"/>
    <n v="119110"/>
    <s v="Average"/>
    <x v="0"/>
    <n v="4.6410958904109592"/>
    <n v="3574"/>
  </r>
  <r>
    <s v="Krishnakanta Vellanki"/>
    <s v="Male"/>
    <x v="4"/>
    <n v="22"/>
    <d v="2021-07-07T00:00:00"/>
    <n v="112780"/>
    <s v="Above average"/>
    <x v="0"/>
    <n v="3.7561643835616438"/>
    <n v="3384"/>
  </r>
  <r>
    <s v="Dhruv Manjunath"/>
    <s v="Female"/>
    <x v="1"/>
    <n v="36"/>
    <d v="2020-07-11T00:00:00"/>
    <n v="114890"/>
    <s v="Average"/>
    <x v="0"/>
    <n v="4.7452054794520544"/>
    <n v="3447"/>
  </r>
  <r>
    <s v="Vanmala Shriharsha"/>
    <s v="Male"/>
    <x v="3"/>
    <n v="27"/>
    <d v="2021-11-06T00:00:00"/>
    <n v="48980"/>
    <s v="Average"/>
    <x v="0"/>
    <n v="3.4219178082191779"/>
    <n v="1470"/>
  </r>
  <r>
    <s v="Sameer Shashank Sapra"/>
    <s v="Male"/>
    <x v="2"/>
    <n v="21"/>
    <d v="2020-12-15T00:00:00"/>
    <n v="75880"/>
    <s v="Average"/>
    <x v="0"/>
    <n v="4.3150684931506849"/>
    <n v="2277"/>
  </r>
  <r>
    <s v="Anumati Shyamari Meherhomji"/>
    <s v="Female"/>
    <x v="4"/>
    <n v="28"/>
    <d v="2021-04-10T00:00:00"/>
    <n v="53240"/>
    <s v="Average"/>
    <x v="0"/>
    <n v="3.9972602739726026"/>
    <n v="1598"/>
  </r>
  <r>
    <s v="Tarala Vishaal"/>
    <s v="Female"/>
    <x v="3"/>
    <n v="34"/>
    <d v="2021-07-20T00:00:00"/>
    <n v="85000"/>
    <s v="Average"/>
    <x v="0"/>
    <n v="3.7205479452054795"/>
    <n v="2550"/>
  </r>
  <r>
    <s v="Shubhra Potla"/>
    <s v="Female"/>
    <x v="0"/>
    <n v="21"/>
    <d v="2022-02-27T00:00:00"/>
    <n v="33920"/>
    <s v="Average"/>
    <x v="0"/>
    <n v="3.1123287671232878"/>
    <n v="1018"/>
  </r>
  <r>
    <s v="Hemavati Muthiah"/>
    <s v="Female"/>
    <x v="0"/>
    <n v="33"/>
    <d v="2021-02-26T00:00:00"/>
    <n v="75280"/>
    <s v="Average"/>
    <x v="0"/>
    <n v="4.1150684931506847"/>
    <n v="2259"/>
  </r>
  <r>
    <s v="Krittika Gaekwad"/>
    <s v="Female"/>
    <x v="3"/>
    <n v="34"/>
    <d v="2022-02-02T00:00:00"/>
    <n v="58940"/>
    <s v="Average"/>
    <x v="0"/>
    <n v="3.1808219178082191"/>
    <n v="1769"/>
  </r>
  <r>
    <s v="Shevantilal Muppala"/>
    <s v="Female"/>
    <x v="1"/>
    <n v="28"/>
    <d v="2021-08-17T00:00:00"/>
    <n v="104770"/>
    <s v="Average"/>
    <x v="0"/>
    <n v="3.6438356164383561"/>
    <n v="3144"/>
  </r>
  <r>
    <s v="Shattesh Utpat"/>
    <s v="Male"/>
    <x v="1"/>
    <n v="21"/>
    <d v="2022-05-20T00:00:00"/>
    <n v="57090"/>
    <s v="Average"/>
    <x v="0"/>
    <n v="2.8876712328767122"/>
    <n v="1142"/>
  </r>
  <r>
    <s v="Kamalakshi Mukundan"/>
    <s v="Male"/>
    <x v="3"/>
    <n v="27"/>
    <d v="2020-12-09T00:00:00"/>
    <n v="91650"/>
    <s v="Above average"/>
    <x v="0"/>
    <n v="4.3315068493150681"/>
    <n v="2750"/>
  </r>
  <r>
    <s v="Chandana Sannidhi Surnilla"/>
    <s v="Male"/>
    <x v="3"/>
    <n v="42"/>
    <d v="2022-04-19T00:00:00"/>
    <n v="70270"/>
    <s v="Poor"/>
    <x v="0"/>
    <n v="2.9726027397260273"/>
    <n v="1406"/>
  </r>
  <r>
    <s v="Indu Varada Sumedh"/>
    <s v="Female"/>
    <x v="3"/>
    <n v="28"/>
    <d v="2020-10-20T00:00:00"/>
    <n v="75970"/>
    <s v="Average"/>
    <x v="0"/>
    <n v="4.4684931506849317"/>
    <n v="2280"/>
  </r>
  <r>
    <s v="Karuna Pashupathy"/>
    <s v="Not found"/>
    <x v="0"/>
    <n v="27"/>
    <d v="2021-01-16T00:00:00"/>
    <n v="90700"/>
    <s v="Above average"/>
    <x v="0"/>
    <n v="4.2273972602739729"/>
    <n v="2721"/>
  </r>
  <r>
    <s v="Mardav Ramaswami"/>
    <s v="Male"/>
    <x v="1"/>
    <n v="30"/>
    <d v="2022-02-15T00:00:00"/>
    <n v="60570"/>
    <s v="Average"/>
    <x v="0"/>
    <n v="3.1452054794520548"/>
    <n v="1818"/>
  </r>
  <r>
    <s v="Sarayu Ragunathan"/>
    <s v="Male"/>
    <x v="1"/>
    <n v="33"/>
    <d v="2020-09-29T00:00:00"/>
    <n v="115920"/>
    <s v="Average"/>
    <x v="0"/>
    <n v="4.5260273972602736"/>
    <n v="3478"/>
  </r>
  <r>
    <s v="Kevalkumar Solanki"/>
    <s v="Female"/>
    <x v="3"/>
    <n v="33"/>
    <d v="2020-06-24T00:00:00"/>
    <n v="65360"/>
    <s v="Average"/>
    <x v="0"/>
    <n v="4.7917808219178086"/>
    <n v="1961"/>
  </r>
  <r>
    <s v="Upendra Swati"/>
    <s v="Not found"/>
    <x v="3"/>
    <n v="30"/>
    <d v="2021-12-05T00:00:00"/>
    <n v="64000"/>
    <s v="Average"/>
    <x v="0"/>
    <n v="3.3424657534246576"/>
    <n v="1920"/>
  </r>
  <r>
    <s v="Deepit Ranjana"/>
    <s v="Female"/>
    <x v="3"/>
    <n v="34"/>
    <d v="2021-07-06T00:00:00"/>
    <n v="92450"/>
    <s v="Average"/>
    <x v="0"/>
    <n v="3.7589041095890412"/>
    <n v="2774"/>
  </r>
  <r>
    <s v="Amal Nimesh"/>
    <s v="Male"/>
    <x v="0"/>
    <n v="31"/>
    <d v="2021-09-11T00:00:00"/>
    <n v="48950"/>
    <s v="Average"/>
    <x v="0"/>
    <n v="3.5753424657534247"/>
    <n v="1469"/>
  </r>
  <r>
    <s v="Kunja Prashanta Vibha"/>
    <s v="Female"/>
    <x v="0"/>
    <n v="27"/>
    <d v="2022-03-05T00:00:00"/>
    <n v="83750"/>
    <s v="Average"/>
    <x v="0"/>
    <n v="3.095890410958904"/>
    <n v="2513"/>
  </r>
  <r>
    <s v="Godavari Veena"/>
    <s v="Female"/>
    <x v="0"/>
    <n v="40"/>
    <d v="2021-03-21T00:00:00"/>
    <n v="87620"/>
    <s v="Average"/>
    <x v="0"/>
    <n v="4.0520547945205481"/>
    <n v="2629"/>
  </r>
  <r>
    <s v="Devasree Fullara Saurin"/>
    <s v="Female"/>
    <x v="4"/>
    <n v="20"/>
    <d v="2021-10-07T00:00:00"/>
    <n v="68900"/>
    <s v="Poor"/>
    <x v="0"/>
    <n v="3.504109589041096"/>
    <n v="2067"/>
  </r>
  <r>
    <s v="Geena Raghavanpillai"/>
    <s v="Male"/>
    <x v="4"/>
    <n v="32"/>
    <d v="2021-07-26T00:00:00"/>
    <n v="53540"/>
    <s v="Average"/>
    <x v="0"/>
    <n v="3.7041095890410958"/>
    <n v="1607"/>
  </r>
  <r>
    <s v="Rupak Mehra"/>
    <s v="Male"/>
    <x v="4"/>
    <n v="28"/>
    <d v="2022-07-16T00:00:00"/>
    <n v="43510"/>
    <s v="Very poor"/>
    <x v="0"/>
    <n v="2.7315068493150685"/>
    <n v="871"/>
  </r>
  <r>
    <s v="Sawini Chandan"/>
    <s v="Female"/>
    <x v="4"/>
    <n v="38"/>
    <d v="2021-04-30T00:00:00"/>
    <n v="109160"/>
    <s v="Exceptional"/>
    <x v="0"/>
    <n v="3.9424657534246577"/>
    <n v="3275"/>
  </r>
  <r>
    <s v="Baruna Ogale"/>
    <s v="Male"/>
    <x v="1"/>
    <n v="40"/>
    <d v="2021-01-08T00:00:00"/>
    <n v="99750"/>
    <s v="Average"/>
    <x v="0"/>
    <n v="4.2493150684931509"/>
    <n v="2993"/>
  </r>
  <r>
    <s v="Jagajeet Viraj"/>
    <s v="Female"/>
    <x v="0"/>
    <n v="31"/>
    <d v="2020-09-10T00:00:00"/>
    <n v="41980"/>
    <s v="Average"/>
    <x v="0"/>
    <n v="4.5780821917808217"/>
    <n v="1260"/>
  </r>
  <r>
    <s v="Kulbhushan Moorthy"/>
    <s v="Male"/>
    <x v="3"/>
    <n v="36"/>
    <d v="2021-03-17T00:00:00"/>
    <n v="71380"/>
    <s v="Average"/>
    <x v="0"/>
    <n v="4.0630136986301366"/>
    <n v="2142"/>
  </r>
  <r>
    <s v="Ilesh Dasgupta"/>
    <s v="Male"/>
    <x v="1"/>
    <n v="27"/>
    <d v="2021-12-17T00:00:00"/>
    <n v="113280"/>
    <s v="Very poor"/>
    <x v="0"/>
    <n v="3.3095890410958906"/>
    <n v="3399"/>
  </r>
  <r>
    <s v="Madhumati Gazala Soumitra"/>
    <s v="Female"/>
    <x v="3"/>
    <n v="33"/>
    <d v="2022-07-05T00:00:00"/>
    <n v="86570"/>
    <s v="Average"/>
    <x v="0"/>
    <n v="2.7616438356164386"/>
    <n v="1732"/>
  </r>
  <r>
    <s v="Chitrasen Laul"/>
    <s v="Male"/>
    <x v="1"/>
    <n v="26"/>
    <d v="2021-06-03T00:00:00"/>
    <n v="53540"/>
    <s v="Average"/>
    <x v="0"/>
    <n v="3.8493150684931505"/>
    <n v="1607"/>
  </r>
  <r>
    <s v="Jaishree Atasi Yavatkar"/>
    <s v="Male"/>
    <x v="0"/>
    <n v="37"/>
    <d v="2022-03-20T00:00:00"/>
    <n v="69070"/>
    <s v="Average"/>
    <x v="0"/>
    <n v="3.0547945205479454"/>
    <n v="2073"/>
  </r>
  <r>
    <s v="Kantimoy Pritish"/>
    <s v="Female"/>
    <x v="3"/>
    <n v="30"/>
    <d v="2021-05-12T00:00:00"/>
    <n v="67910"/>
    <s v="Poor"/>
    <x v="0"/>
    <n v="3.9095890410958902"/>
    <n v="2038"/>
  </r>
  <r>
    <s v="Rameshwari Chikodi"/>
    <s v="Male"/>
    <x v="0"/>
    <n v="30"/>
    <d v="2021-01-18T00:00:00"/>
    <n v="69120"/>
    <s v="Average"/>
    <x v="0"/>
    <n v="4.2219178082191782"/>
    <n v="2074"/>
  </r>
  <r>
    <s v="Lalit Kothari"/>
    <s v="Female"/>
    <x v="3"/>
    <n v="34"/>
    <d v="2021-12-20T00:00:00"/>
    <n v="60130"/>
    <s v="Average"/>
    <x v="0"/>
    <n v="3.3013698630136985"/>
    <n v="1804"/>
  </r>
  <r>
    <s v="Sahas Sanabhi Shrikant"/>
    <s v="Male"/>
    <x v="1"/>
    <n v="23"/>
    <d v="2021-07-01T00:00:00"/>
    <n v="106460"/>
    <s v="Average"/>
    <x v="0"/>
    <n v="3.7726027397260276"/>
    <n v="3194"/>
  </r>
  <r>
    <s v="Kaishori Harathi Kateel"/>
    <s v="Female"/>
    <x v="2"/>
    <n v="37"/>
    <d v="2021-07-12T00:00:00"/>
    <n v="118100"/>
    <s v="Average"/>
    <x v="0"/>
    <n v="3.7424657534246575"/>
    <n v="3543"/>
  </r>
  <r>
    <s v="Rushil Kripa"/>
    <s v="Female"/>
    <x v="1"/>
    <n v="36"/>
    <d v="2021-09-29T00:00:00"/>
    <n v="78390"/>
    <s v="Average"/>
    <x v="0"/>
    <n v="3.526027397260274"/>
    <n v="2352"/>
  </r>
  <r>
    <s v="Sarojini Naueshwara"/>
    <s v="Female"/>
    <x v="1"/>
    <n v="30"/>
    <d v="2022-08-16T00:00:00"/>
    <n v="114180"/>
    <s v="Average"/>
    <x v="0"/>
    <n v="2.6465753424657534"/>
    <n v="2284"/>
  </r>
  <r>
    <s v="Sartaj Probal"/>
    <s v="Female"/>
    <x v="1"/>
    <n v="28"/>
    <d v="2022-01-29T00:00:00"/>
    <n v="104120"/>
    <s v="Average"/>
    <x v="0"/>
    <n v="3.1917808219178081"/>
    <n v="3124"/>
  </r>
  <r>
    <s v="Mahindra Sreedharan"/>
    <s v="Male"/>
    <x v="1"/>
    <n v="30"/>
    <d v="2022-03-20T00:00:00"/>
    <n v="67950"/>
    <s v="Average"/>
    <x v="0"/>
    <n v="3.0547945205479454"/>
    <n v="2039"/>
  </r>
  <r>
    <s v="Suchira Bhanupriya Tapti"/>
    <s v="Female"/>
    <x v="0"/>
    <n v="29"/>
    <d v="2020-05-11T00:00:00"/>
    <n v="34980"/>
    <s v="Average"/>
    <x v="0"/>
    <n v="4.912328767123288"/>
    <n v="1050"/>
  </r>
  <r>
    <s v="Fullara Sushanti Mokate"/>
    <s v="Female"/>
    <x v="0"/>
    <n v="24"/>
    <d v="2020-09-13T00:00:00"/>
    <n v="62780"/>
    <s v="Average"/>
    <x v="0"/>
    <n v="4.5698630136986305"/>
    <n v="1884"/>
  </r>
  <r>
    <s v="Hridaynath Tendulkar"/>
    <s v="Male"/>
    <x v="0"/>
    <n v="20"/>
    <d v="2021-07-20T00:00:00"/>
    <n v="107700"/>
    <s v="Average"/>
    <x v="0"/>
    <n v="3.7205479452054795"/>
    <n v="3231"/>
  </r>
  <r>
    <s v="Abhaya Priyavardhan"/>
    <s v="Male"/>
    <x v="4"/>
    <n v="25"/>
    <d v="2021-05-06T00:00:00"/>
    <n v="65700"/>
    <s v="Average"/>
    <x v="0"/>
    <n v="3.9260273972602739"/>
    <n v="1971"/>
  </r>
  <r>
    <s v="Ayog Chakrabarti"/>
    <s v="Female"/>
    <x v="0"/>
    <n v="33"/>
    <d v="2021-04-27T00:00:00"/>
    <n v="75480"/>
    <s v="Very poor"/>
    <x v="0"/>
    <n v="3.9506849315068493"/>
    <n v="2265"/>
  </r>
  <r>
    <s v="Pragya Nilufar"/>
    <s v="Male"/>
    <x v="0"/>
    <n v="33"/>
    <d v="2021-09-09T00:00:00"/>
    <n v="53870"/>
    <s v="Average"/>
    <x v="0"/>
    <n v="3.580821917808219"/>
    <n v="1617"/>
  </r>
  <r>
    <s v="Shulabh Qutub Sundaramoorthy"/>
    <s v="Female"/>
    <x v="4"/>
    <n v="36"/>
    <d v="2021-08-25T00:00:00"/>
    <n v="78540"/>
    <s v="Average"/>
    <x v="0"/>
    <n v="3.6219178082191781"/>
    <n v="2357"/>
  </r>
  <r>
    <s v="Vinanti Choudhari"/>
    <s v="Male"/>
    <x v="1"/>
    <n v="19"/>
    <d v="2021-01-22T00:00:00"/>
    <n v="58960"/>
    <s v="Average"/>
    <x v="0"/>
    <n v="4.2109589041095887"/>
    <n v="1769"/>
  </r>
  <r>
    <s v="Ranajay Kailashnath Richa"/>
    <s v="Male"/>
    <x v="1"/>
    <n v="46"/>
    <d v="2022-05-16T00:00:00"/>
    <n v="70610"/>
    <s v="Average"/>
    <x v="0"/>
    <n v="2.8986301369863012"/>
    <n v="1413"/>
  </r>
  <r>
    <s v="Asija Pothireddy"/>
    <s v="Male"/>
    <x v="3"/>
    <n v="33"/>
    <d v="2020-12-16T00:00:00"/>
    <n v="59430"/>
    <s v="Average"/>
    <x v="0"/>
    <n v="4.3123287671232875"/>
    <n v="1783"/>
  </r>
  <r>
    <s v="Piyali Mahanthapa"/>
    <s v="Male"/>
    <x v="1"/>
    <n v="33"/>
    <d v="2022-03-20T00:00:00"/>
    <n v="48530"/>
    <s v="Above average"/>
    <x v="0"/>
    <n v="3.0547945205479454"/>
    <n v="1456"/>
  </r>
  <r>
    <s v="Sukhdev Nageshwar"/>
    <s v="Female"/>
    <x v="0"/>
    <n v="33"/>
    <d v="2020-10-25T00:00:00"/>
    <n v="96140"/>
    <s v="Average"/>
    <x v="0"/>
    <n v="4.4547945205479449"/>
    <n v="2885"/>
  </r>
  <r>
    <s v="Lindy Guillet"/>
    <s v="Male"/>
    <x v="4"/>
    <n v="22"/>
    <d v="2021-09-07T00:00:00"/>
    <n v="112780"/>
    <s v="Above average"/>
    <x v="1"/>
    <n v="3.5863013698630137"/>
    <n v="3384"/>
  </r>
  <r>
    <s v="Ambros Murthwaite"/>
    <s v="Male"/>
    <x v="1"/>
    <n v="46"/>
    <d v="2022-07-16T00:00:00"/>
    <n v="70610"/>
    <s v="Average"/>
    <x v="1"/>
    <n v="2.7315068493150685"/>
    <n v="1413"/>
  </r>
  <r>
    <s v="Tatum Hush"/>
    <s v="Female"/>
    <x v="4"/>
    <n v="28"/>
    <d v="2021-06-10T00:00:00"/>
    <n v="53240"/>
    <s v="Average"/>
    <x v="1"/>
    <n v="3.8301369863013699"/>
    <n v="1598"/>
  </r>
  <r>
    <s v="Benny Karolovsky"/>
    <s v="Not found"/>
    <x v="3"/>
    <n v="37"/>
    <d v="2020-11-11T00:00:00"/>
    <n v="115440"/>
    <s v="Poor"/>
    <x v="1"/>
    <n v="4.4082191780821915"/>
    <n v="3464"/>
  </r>
  <r>
    <s v="Hoyt D'Alesco"/>
    <s v="Male"/>
    <x v="4"/>
    <n v="32"/>
    <d v="2021-09-26T00:00:00"/>
    <n v="53540"/>
    <s v="Average"/>
    <x v="1"/>
    <n v="3.5342465753424657"/>
    <n v="1607"/>
  </r>
  <r>
    <s v="Halimeda Kuscha"/>
    <s v="Female"/>
    <x v="1"/>
    <n v="30"/>
    <d v="2022-10-27T00:00:00"/>
    <n v="112570"/>
    <s v="Average"/>
    <x v="1"/>
    <n v="2.4493150684931506"/>
    <n v="2252"/>
  </r>
  <r>
    <s v="Erin Androsik"/>
    <s v="Male"/>
    <x v="1"/>
    <n v="33"/>
    <d v="2022-05-20T00:00:00"/>
    <n v="48530"/>
    <s v="Above average"/>
    <x v="1"/>
    <n v="2.8876712328767122"/>
    <n v="971"/>
  </r>
  <r>
    <s v="Vic Radolf"/>
    <s v="Female"/>
    <x v="0"/>
    <n v="24"/>
    <d v="2020-11-13T00:00:00"/>
    <n v="62780"/>
    <s v="Average"/>
    <x v="1"/>
    <n v="4.4027397260273968"/>
    <n v="1884"/>
  </r>
  <r>
    <s v="William Reeveley"/>
    <s v="Male"/>
    <x v="0"/>
    <n v="33"/>
    <d v="2021-11-09T00:00:00"/>
    <n v="53870"/>
    <s v="Average"/>
    <x v="1"/>
    <n v="3.4136986301369863"/>
    <n v="1617"/>
  </r>
  <r>
    <s v="Ewart Laphorn"/>
    <s v="Female"/>
    <x v="2"/>
    <n v="27"/>
    <d v="2020-10-18T00:00:00"/>
    <n v="119110"/>
    <s v="Average"/>
    <x v="1"/>
    <n v="4.4739726027397264"/>
    <n v="3574"/>
  </r>
  <r>
    <s v="Bev Lashley"/>
    <s v="Male"/>
    <x v="0"/>
    <n v="29"/>
    <d v="2020-12-15T00:00:00"/>
    <n v="112110"/>
    <s v="Poor"/>
    <x v="1"/>
    <n v="4.3150684931506849"/>
    <n v="3364"/>
  </r>
  <r>
    <s v="Kath Bletsoe"/>
    <s v="Male"/>
    <x v="4"/>
    <n v="25"/>
    <d v="2021-07-06T00:00:00"/>
    <n v="65700"/>
    <s v="Average"/>
    <x v="1"/>
    <n v="3.7589041095890412"/>
    <n v="1971"/>
  </r>
  <r>
    <s v="Murry Dryburgh"/>
    <s v="Male"/>
    <x v="0"/>
    <n v="37"/>
    <d v="2022-05-20T00:00:00"/>
    <n v="69070"/>
    <s v="Average"/>
    <x v="1"/>
    <n v="2.8876712328767122"/>
    <n v="1382"/>
  </r>
  <r>
    <s v="Kaine Padly"/>
    <s v="Male"/>
    <x v="0"/>
    <n v="20"/>
    <d v="2021-09-20T00:00:00"/>
    <n v="107700"/>
    <s v="Average"/>
    <x v="1"/>
    <n v="3.5506849315068494"/>
    <n v="3231"/>
  </r>
  <r>
    <s v="Kassi Jonson"/>
    <s v="Female"/>
    <x v="0"/>
    <n v="32"/>
    <d v="2021-06-07T00:00:00"/>
    <n v="43840"/>
    <s v="Above average"/>
    <x v="1"/>
    <n v="3.8383561643835615"/>
    <n v="1316"/>
  </r>
  <r>
    <s v="Simon Kembery"/>
    <s v="Male"/>
    <x v="1"/>
    <n v="40"/>
    <d v="2021-03-08T00:00:00"/>
    <n v="99750"/>
    <s v="Average"/>
    <x v="1"/>
    <n v="4.087671232876712"/>
    <n v="2993"/>
  </r>
  <r>
    <s v="Orton Livick"/>
    <s v="Male"/>
    <x v="1"/>
    <n v="21"/>
    <d v="2020-09-30T00:00:00"/>
    <n v="37920"/>
    <s v="Average"/>
    <x v="1"/>
    <n v="4.5232876712328771"/>
    <n v="1138"/>
  </r>
  <r>
    <s v="Kelci Walkden"/>
    <s v="Male"/>
    <x v="1"/>
    <n v="21"/>
    <d v="2022-07-20T00:00:00"/>
    <n v="57090"/>
    <s v="Average"/>
    <x v="1"/>
    <n v="2.7205479452054795"/>
    <n v="1142"/>
  </r>
  <r>
    <s v="Dotty Strutley"/>
    <s v="Female"/>
    <x v="0"/>
    <n v="31"/>
    <d v="2020-11-10T00:00:00"/>
    <n v="41980"/>
    <s v="Average"/>
    <x v="1"/>
    <n v="4.4109589041095889"/>
    <n v="1260"/>
  </r>
  <r>
    <s v="Shari McNee"/>
    <s v="Male"/>
    <x v="2"/>
    <n v="21"/>
    <d v="2021-02-15T00:00:00"/>
    <n v="75880"/>
    <s v="Average"/>
    <x v="1"/>
    <n v="4.1452054794520548"/>
    <n v="2277"/>
  </r>
  <r>
    <s v="Oby Sorrel"/>
    <s v="Female"/>
    <x v="3"/>
    <n v="34"/>
    <d v="2022-04-02T00:00:00"/>
    <n v="58940"/>
    <s v="Average"/>
    <x v="1"/>
    <n v="3.0191780821917806"/>
    <n v="1769"/>
  </r>
  <r>
    <s v="Husein Augar"/>
    <s v="Female"/>
    <x v="3"/>
    <n v="30"/>
    <d v="2021-07-12T00:00:00"/>
    <n v="67910"/>
    <s v="Poor"/>
    <x v="1"/>
    <n v="3.7424657534246575"/>
    <n v="2038"/>
  </r>
  <r>
    <s v="Brien Boise"/>
    <s v="Female"/>
    <x v="0"/>
    <n v="31"/>
    <d v="2022-04-12T00:00:00"/>
    <n v="58100"/>
    <s v="Average"/>
    <x v="1"/>
    <n v="2.9917808219178084"/>
    <n v="1162"/>
  </r>
  <r>
    <s v="Esmaria Denecamp"/>
    <s v="Male"/>
    <x v="3"/>
    <n v="27"/>
    <d v="2022-01-06T00:00:00"/>
    <n v="48980"/>
    <s v="Average"/>
    <x v="1"/>
    <n v="3.2547945205479452"/>
    <n v="1470"/>
  </r>
  <r>
    <s v="Curtice Advani"/>
    <s v="Not found"/>
    <x v="3"/>
    <n v="30"/>
    <d v="2022-02-05T00:00:00"/>
    <n v="64000"/>
    <s v="Average"/>
    <x v="1"/>
    <n v="3.1726027397260275"/>
    <n v="1920"/>
  </r>
  <r>
    <s v="Barr Faughny"/>
    <s v="Female"/>
    <x v="1"/>
    <n v="42"/>
    <d v="2022-08-06T00:00:00"/>
    <n v="75000"/>
    <s v="Exceptional"/>
    <x v="1"/>
    <n v="2.6739726027397261"/>
    <n v="1500"/>
  </r>
  <r>
    <s v="Merrilee Plenty"/>
    <s v="Female"/>
    <x v="0"/>
    <n v="40"/>
    <d v="2021-05-21T00:00:00"/>
    <n v="87620"/>
    <s v="Average"/>
    <x v="1"/>
    <n v="3.8849315068493149"/>
    <n v="2629"/>
  </r>
  <r>
    <s v="Niall Selesnick"/>
    <s v="Female"/>
    <x v="0"/>
    <n v="29"/>
    <d v="2020-07-11T00:00:00"/>
    <n v="34980"/>
    <s v="Average"/>
    <x v="1"/>
    <n v="4.7452054794520544"/>
    <n v="1050"/>
  </r>
  <r>
    <s v="Beverie Moffet"/>
    <s v="Female"/>
    <x v="3"/>
    <n v="28"/>
    <d v="2020-12-20T00:00:00"/>
    <n v="75970"/>
    <s v="Average"/>
    <x v="1"/>
    <n v="4.3013698630136989"/>
    <n v="2280"/>
  </r>
  <r>
    <s v="Jehu Rudeforth"/>
    <s v="Female"/>
    <x v="3"/>
    <n v="34"/>
    <d v="2022-02-20T00:00:00"/>
    <n v="60130"/>
    <s v="Average"/>
    <x v="1"/>
    <n v="3.1315068493150684"/>
    <n v="1804"/>
  </r>
  <r>
    <s v="Camilla Castle"/>
    <s v="Female"/>
    <x v="0"/>
    <n v="33"/>
    <d v="2021-06-27T00:00:00"/>
    <n v="75480"/>
    <s v="Very poor"/>
    <x v="1"/>
    <n v="3.7835616438356166"/>
    <n v="2265"/>
  </r>
  <r>
    <s v="Roddy Speechley"/>
    <s v="Male"/>
    <x v="1"/>
    <n v="33"/>
    <d v="2020-11-29T00:00:00"/>
    <n v="115920"/>
    <s v="Average"/>
    <x v="1"/>
    <n v="4.3589041095890408"/>
    <n v="3478"/>
  </r>
  <r>
    <s v="Gray Seamon"/>
    <s v="Female"/>
    <x v="4"/>
    <n v="36"/>
    <d v="2021-10-25T00:00:00"/>
    <n v="78540"/>
    <s v="Average"/>
    <x v="1"/>
    <n v="3.4547945205479453"/>
    <n v="2357"/>
  </r>
  <r>
    <s v="Madelene Upcott"/>
    <s v="Male"/>
    <x v="1"/>
    <n v="25"/>
    <d v="2022-06-14T00:00:00"/>
    <n v="109190"/>
    <s v="Above average"/>
    <x v="1"/>
    <n v="2.8191780821917809"/>
    <n v="2184"/>
  </r>
  <r>
    <s v="Violante Courtonne"/>
    <s v="Female"/>
    <x v="4"/>
    <n v="34"/>
    <d v="2022-06-09T00:00:00"/>
    <n v="49630"/>
    <s v="Poor"/>
    <x v="1"/>
    <n v="2.8328767123287673"/>
    <n v="993"/>
  </r>
  <r>
    <s v="Bernie Gorges"/>
    <s v="Female"/>
    <x v="1"/>
    <n v="28"/>
    <d v="2022-03-10T00:00:00"/>
    <n v="99970"/>
    <s v="Average"/>
    <x v="1"/>
    <n v="3.0821917808219177"/>
    <n v="3000"/>
  </r>
  <r>
    <s v="Torrance Collier"/>
    <s v="Female"/>
    <x v="0"/>
    <n v="33"/>
    <d v="2020-12-25T00:00:00"/>
    <n v="96140"/>
    <s v="Average"/>
    <x v="1"/>
    <n v="4.2876712328767121"/>
    <n v="2885"/>
  </r>
  <r>
    <s v="Dyna Doucette"/>
    <s v="Male"/>
    <x v="1"/>
    <n v="31"/>
    <d v="2022-06-12T00:00:00"/>
    <n v="103550"/>
    <s v="Average"/>
    <x v="1"/>
    <n v="2.8246575342465752"/>
    <n v="2071"/>
  </r>
  <r>
    <s v="Gunar Cockshoot"/>
    <s v="Male"/>
    <x v="0"/>
    <n v="31"/>
    <d v="2021-11-11T00:00:00"/>
    <n v="48950"/>
    <s v="Average"/>
    <x v="1"/>
    <n v="3.408219178082192"/>
    <n v="1469"/>
  </r>
  <r>
    <s v="Kaye Crocroft"/>
    <s v="Male"/>
    <x v="3"/>
    <n v="24"/>
    <d v="2021-08-28T00:00:00"/>
    <n v="52610"/>
    <s v="Poor"/>
    <x v="1"/>
    <n v="3.6136986301369864"/>
    <n v="1579"/>
  </r>
  <r>
    <s v="Allene Gobbet"/>
    <s v="Female"/>
    <x v="1"/>
    <n v="36"/>
    <d v="2021-11-29T00:00:00"/>
    <n v="78390"/>
    <s v="Average"/>
    <x v="1"/>
    <n v="3.3589041095890413"/>
    <n v="2352"/>
  </r>
  <r>
    <s v="Sibyl Dunkirk"/>
    <s v="Female"/>
    <x v="3"/>
    <n v="33"/>
    <d v="2022-09-05T00:00:00"/>
    <n v="86570"/>
    <s v="Average"/>
    <x v="1"/>
    <n v="2.591780821917808"/>
    <n v="1732"/>
  </r>
  <r>
    <s v="Agnes Collicott"/>
    <s v="Female"/>
    <x v="0"/>
    <n v="27"/>
    <d v="2022-05-05T00:00:00"/>
    <n v="83750"/>
    <s v="Average"/>
    <x v="1"/>
    <n v="2.9287671232876713"/>
    <n v="1675"/>
  </r>
  <r>
    <s v="Leilah Yesinin"/>
    <s v="Female"/>
    <x v="3"/>
    <n v="34"/>
    <d v="2021-09-06T00:00:00"/>
    <n v="92450"/>
    <s v="Average"/>
    <x v="1"/>
    <n v="3.5890410958904111"/>
    <n v="2774"/>
  </r>
  <r>
    <s v="Mollie Hanway"/>
    <s v="Male"/>
    <x v="0"/>
    <n v="20"/>
    <d v="2020-12-18T00:00:00"/>
    <n v="112650"/>
    <s v="Average"/>
    <x v="1"/>
    <n v="4.3068493150684928"/>
    <n v="3380"/>
  </r>
  <r>
    <s v="Kellsie Waby"/>
    <s v="Male"/>
    <x v="1"/>
    <n v="20"/>
    <d v="2022-07-02T00:00:00"/>
    <n v="79570"/>
    <s v="Average"/>
    <x v="1"/>
    <n v="2.7698630136986302"/>
    <n v="1592"/>
  </r>
  <r>
    <s v="Hyacinthie Braybrooke"/>
    <s v="Female"/>
    <x v="4"/>
    <n v="20"/>
    <d v="2021-12-07T00:00:00"/>
    <n v="68900"/>
    <s v="Poor"/>
    <x v="1"/>
    <n v="3.3369863013698629"/>
    <n v="2067"/>
  </r>
  <r>
    <s v="Van Tuxwell"/>
    <s v="Female"/>
    <x v="0"/>
    <n v="25"/>
    <d v="2022-05-13T00:00:00"/>
    <n v="80700"/>
    <s v="Above average"/>
    <x v="1"/>
    <n v="2.9068493150684933"/>
    <n v="1614"/>
  </r>
  <r>
    <s v="Lilyan Klimpt"/>
    <s v="Male"/>
    <x v="1"/>
    <n v="19"/>
    <d v="2021-03-22T00:00:00"/>
    <n v="58960"/>
    <s v="Average"/>
    <x v="1"/>
    <n v="4.0493150684931507"/>
    <n v="1769"/>
  </r>
  <r>
    <s v="Tawnya Tickel"/>
    <s v="Male"/>
    <x v="0"/>
    <n v="36"/>
    <d v="2020-07-07T00:00:00"/>
    <n v="118840"/>
    <s v="Average"/>
    <x v="1"/>
    <n v="4.7561643835616438"/>
    <n v="3566"/>
  </r>
  <r>
    <s v="Jan Morforth"/>
    <s v="Male"/>
    <x v="3"/>
    <n v="28"/>
    <d v="2020-07-29T00:00:00"/>
    <n v="48170"/>
    <s v="Above average"/>
    <x v="1"/>
    <n v="4.6958904109589037"/>
    <n v="1446"/>
  </r>
  <r>
    <s v="Florinda Crace"/>
    <s v="Female"/>
    <x v="2"/>
    <n v="32"/>
    <d v="2021-07-23T00:00:00"/>
    <n v="45510"/>
    <s v="Average"/>
    <x v="1"/>
    <n v="3.7123287671232879"/>
    <n v="1366"/>
  </r>
  <r>
    <s v="Tracy Renad"/>
    <s v="Female"/>
    <x v="1"/>
    <n v="36"/>
    <d v="2020-09-11T00:00:00"/>
    <n v="114890"/>
    <s v="Average"/>
    <x v="1"/>
    <n v="4.5753424657534243"/>
    <n v="3447"/>
  </r>
  <r>
    <s v="Myer McCory"/>
    <s v="Male"/>
    <x v="0"/>
    <n v="30"/>
    <d v="2022-10-16T00:00:00"/>
    <n v="69710"/>
    <s v="Average"/>
    <x v="1"/>
    <n v="2.4794520547945207"/>
    <n v="1395"/>
  </r>
  <r>
    <s v="Bennie Pepis"/>
    <s v="Male"/>
    <x v="3"/>
    <n v="36"/>
    <d v="2021-05-17T00:00:00"/>
    <n v="71380"/>
    <s v="Average"/>
    <x v="1"/>
    <n v="3.8958904109589043"/>
    <n v="2142"/>
  </r>
  <r>
    <s v="Rafaelita Blaksland"/>
    <s v="Female"/>
    <x v="4"/>
    <n v="38"/>
    <d v="2021-06-30T00:00:00"/>
    <n v="109160"/>
    <s v="Exceptional"/>
    <x v="1"/>
    <n v="3.7753424657534245"/>
    <n v="3275"/>
  </r>
  <r>
    <s v="Mahalia Larcher"/>
    <s v="Male"/>
    <x v="1"/>
    <n v="27"/>
    <d v="2022-02-17T00:00:00"/>
    <n v="113280"/>
    <s v="Very poor"/>
    <x v="1"/>
    <n v="3.1397260273972605"/>
    <n v="3399"/>
  </r>
  <r>
    <s v="Andria Kimpton"/>
    <s v="Male"/>
    <x v="0"/>
    <n v="30"/>
    <d v="2021-03-18T00:00:00"/>
    <n v="69120"/>
    <s v="Average"/>
    <x v="1"/>
    <n v="4.0602739726027401"/>
    <n v="2074"/>
  </r>
  <r>
    <s v="Valentia Etteridge"/>
    <s v="Female"/>
    <x v="2"/>
    <n v="37"/>
    <d v="2021-09-12T00:00:00"/>
    <n v="118100"/>
    <s v="Average"/>
    <x v="1"/>
    <n v="3.5726027397260274"/>
    <n v="3543"/>
  </r>
  <r>
    <s v="Virginia McConville"/>
    <s v="Female"/>
    <x v="1"/>
    <n v="22"/>
    <d v="2021-09-11T00:00:00"/>
    <n v="76900"/>
    <s v="Above average"/>
    <x v="1"/>
    <n v="3.5753424657534247"/>
    <n v="2307"/>
  </r>
  <r>
    <s v="Wilone O'Kielt"/>
    <s v="Female"/>
    <x v="0"/>
    <n v="43"/>
    <d v="2023-04-29T00:00:00"/>
    <n v="114870"/>
    <s v="Average"/>
    <x v="1"/>
    <n v="1.9452054794520548"/>
    <n v="2298"/>
  </r>
  <r>
    <s v="Madge McCloughen"/>
    <s v="Not found"/>
    <x v="0"/>
    <n v="32"/>
    <d v="2022-08-01T00:00:00"/>
    <n v="91310"/>
    <s v="Average"/>
    <x v="1"/>
    <n v="2.6876712328767125"/>
    <n v="1827"/>
  </r>
  <r>
    <s v="Janene Hairsine"/>
    <s v="Female"/>
    <x v="1"/>
    <n v="28"/>
    <d v="2021-10-17T00:00:00"/>
    <n v="104770"/>
    <s v="Average"/>
    <x v="1"/>
    <n v="3.4767123287671233"/>
    <n v="3144"/>
  </r>
  <r>
    <s v="Alta Kaszper"/>
    <s v="Male"/>
    <x v="4"/>
    <n v="27"/>
    <d v="2020-10-30T00:00:00"/>
    <n v="54970"/>
    <s v="Average"/>
    <x v="1"/>
    <n v="4.441095890410959"/>
    <n v="1650"/>
  </r>
  <r>
    <s v="Dennison Crosswaite"/>
    <s v="Not found"/>
    <x v="0"/>
    <n v="26"/>
    <d v="2021-03-16T00:00:00"/>
    <n v="90700"/>
    <s v="Above average"/>
    <x v="1"/>
    <n v="4.065753424657534"/>
    <n v="2721"/>
  </r>
  <r>
    <s v="Oran Buxcy"/>
    <s v="Female"/>
    <x v="4"/>
    <n v="38"/>
    <d v="2021-05-13T00:00:00"/>
    <n v="56870"/>
    <s v="Above average"/>
    <x v="1"/>
    <n v="3.9068493150684933"/>
    <n v="1707"/>
  </r>
  <r>
    <s v="Hinda Label"/>
    <s v="Female"/>
    <x v="4"/>
    <n v="25"/>
    <d v="2021-01-09T00:00:00"/>
    <n v="92700"/>
    <s v="Average"/>
    <x v="1"/>
    <n v="4.2465753424657535"/>
    <n v="2781"/>
  </r>
  <r>
    <s v="Marney O'Breen"/>
    <s v="Female"/>
    <x v="3"/>
    <n v="21"/>
    <d v="2021-05-01T00:00:00"/>
    <n v="65920"/>
    <s v="Average"/>
    <x v="1"/>
    <n v="3.9397260273972603"/>
    <n v="1978"/>
  </r>
  <r>
    <s v="Dell Molloy"/>
    <s v="Male"/>
    <x v="1"/>
    <n v="26"/>
    <d v="2021-01-29T00:00:00"/>
    <n v="47360"/>
    <s v="Average"/>
    <x v="1"/>
    <n v="4.1917808219178081"/>
    <n v="1421"/>
  </r>
  <r>
    <s v="Mallorie Waber"/>
    <s v="Male"/>
    <x v="1"/>
    <n v="30"/>
    <d v="2022-04-15T00:00:00"/>
    <n v="60570"/>
    <s v="Average"/>
    <x v="1"/>
    <n v="2.9835616438356163"/>
    <n v="1212"/>
  </r>
  <r>
    <s v="Cherlyn Barter"/>
    <s v="Female"/>
    <x v="1"/>
    <n v="28"/>
    <d v="2022-03-29T00:00:00"/>
    <n v="104120"/>
    <s v="Average"/>
    <x v="1"/>
    <n v="3.0301369863013701"/>
    <n v="3124"/>
  </r>
  <r>
    <s v="Ches Bonnell"/>
    <s v="Male"/>
    <x v="0"/>
    <n v="37"/>
    <d v="2021-05-22T00:00:00"/>
    <n v="88050"/>
    <s v="Poor"/>
    <x v="1"/>
    <n v="3.882191780821918"/>
    <n v="2642"/>
  </r>
  <r>
    <s v="Collin Jagson"/>
    <s v="Male"/>
    <x v="0"/>
    <n v="24"/>
    <d v="2022-05-05T00:00:00"/>
    <n v="100420"/>
    <s v="Average"/>
    <x v="1"/>
    <n v="2.9287671232876713"/>
    <n v="2009"/>
  </r>
  <r>
    <s v="Hogan Iles"/>
    <s v="Female"/>
    <x v="1"/>
    <n v="30"/>
    <d v="2022-10-16T00:00:00"/>
    <n v="114180"/>
    <s v="Average"/>
    <x v="1"/>
    <n v="2.4794520547945207"/>
    <n v="2284"/>
  </r>
  <r>
    <s v="Gretchen Callow"/>
    <s v="Female"/>
    <x v="0"/>
    <n v="21"/>
    <d v="2022-04-27T00:00:00"/>
    <n v="33920"/>
    <s v="Average"/>
    <x v="1"/>
    <n v="2.9506849315068493"/>
    <n v="679"/>
  </r>
  <r>
    <s v="Kissiah Maydway"/>
    <s v="Male"/>
    <x v="1"/>
    <n v="23"/>
    <d v="2021-09-01T00:00:00"/>
    <n v="106460"/>
    <s v="Average"/>
    <x v="1"/>
    <n v="3.6027397260273974"/>
    <n v="3194"/>
  </r>
  <r>
    <s v="Archibald Filliskirk"/>
    <s v="Male"/>
    <x v="1"/>
    <n v="35"/>
    <d v="2022-06-15T00:00:00"/>
    <n v="40400"/>
    <s v="Average"/>
    <x v="1"/>
    <n v="2.8164383561643835"/>
    <n v="808"/>
  </r>
  <r>
    <s v="Enoch Dowrey"/>
    <s v="Male"/>
    <x v="3"/>
    <n v="27"/>
    <d v="2021-02-09T00:00:00"/>
    <n v="91650"/>
    <s v="Above average"/>
    <x v="1"/>
    <n v="4.161643835616438"/>
    <n v="2750"/>
  </r>
  <r>
    <s v="Bili Sizey"/>
    <s v="Male"/>
    <x v="4"/>
    <n v="43"/>
    <d v="2022-02-28T00:00:00"/>
    <n v="36040"/>
    <s v="Average"/>
    <x v="1"/>
    <n v="3.1095890410958904"/>
    <n v="1082"/>
  </r>
  <r>
    <s v="Caro Chappel"/>
    <s v="Female"/>
    <x v="0"/>
    <n v="40"/>
    <d v="2021-07-04T00:00:00"/>
    <n v="104410"/>
    <s v="Average"/>
    <x v="1"/>
    <n v="3.7643835616438355"/>
    <n v="3133"/>
  </r>
  <r>
    <s v="Constantino Espley"/>
    <s v="Male"/>
    <x v="3"/>
    <n v="30"/>
    <d v="2022-02-14T00:00:00"/>
    <n v="96800"/>
    <s v="Average"/>
    <x v="1"/>
    <n v="3.1479452054794521"/>
    <n v="2904"/>
  </r>
  <r>
    <s v="Karlen McCaffrey"/>
    <s v="Female"/>
    <x v="3"/>
    <n v="34"/>
    <d v="2021-09-20T00:00:00"/>
    <n v="85000"/>
    <s v="Average"/>
    <x v="1"/>
    <n v="3.5506849315068494"/>
    <n v="2550"/>
  </r>
  <r>
    <s v="Drusy MacCombe"/>
    <s v="Male"/>
    <x v="4"/>
    <n v="28"/>
    <d v="2022-09-16T00:00:00"/>
    <n v="43510"/>
    <s v="Very poor"/>
    <x v="1"/>
    <n v="2.5616438356164384"/>
    <n v="871"/>
  </r>
  <r>
    <s v="My Hanscome"/>
    <s v="Male"/>
    <x v="3"/>
    <n v="33"/>
    <d v="2021-02-16T00:00:00"/>
    <n v="59430"/>
    <s v="Average"/>
    <x v="1"/>
    <n v="4.1424657534246574"/>
    <n v="1783"/>
  </r>
  <r>
    <s v="Teressa Udden"/>
    <s v="Female"/>
    <x v="3"/>
    <n v="33"/>
    <d v="2020-08-24T00:00:00"/>
    <n v="65360"/>
    <s v="Average"/>
    <x v="1"/>
    <n v="4.624657534246575"/>
    <n v="1961"/>
  </r>
  <r>
    <s v="Crissie Cordel"/>
    <s v="Female"/>
    <x v="1"/>
    <n v="32"/>
    <d v="2022-02-19T00:00:00"/>
    <n v="41570"/>
    <s v="Average"/>
    <x v="1"/>
    <n v="3.1342465753424658"/>
    <n v="1248"/>
  </r>
  <r>
    <s v="Elia Cockton"/>
    <s v="Female"/>
    <x v="0"/>
    <n v="33"/>
    <d v="2021-04-26T00:00:00"/>
    <n v="75280"/>
    <s v="Average"/>
    <x v="1"/>
    <n v="3.9534246575342467"/>
    <n v="2259"/>
  </r>
  <r>
    <s v="Gigi Bohling"/>
    <s v="Male"/>
    <x v="4"/>
    <n v="33"/>
    <d v="2021-07-08T00:00:00"/>
    <n v="74550"/>
    <s v="Average"/>
    <x v="1"/>
    <n v="3.7534246575342465"/>
    <n v="2237"/>
  </r>
  <r>
    <s v="Ebonee Roxburgh"/>
    <s v="Male"/>
    <x v="1"/>
    <n v="30"/>
    <d v="2022-05-20T00:00:00"/>
    <n v="67950"/>
    <s v="Average"/>
    <x v="1"/>
    <n v="2.8876712328767122"/>
    <n v="1359"/>
  </r>
  <r>
    <s v="Shayne Stegel"/>
    <s v="Male"/>
    <x v="3"/>
    <n v="42"/>
    <d v="2022-06-19T00:00:00"/>
    <n v="70270"/>
    <s v="Poor"/>
    <x v="1"/>
    <n v="2.8054794520547945"/>
    <n v="1406"/>
  </r>
  <r>
    <s v="Zach Polon"/>
    <s v="Male"/>
    <x v="1"/>
    <n v="26"/>
    <d v="2021-08-03T00:00:00"/>
    <n v="53540"/>
    <s v="Average"/>
    <x v="1"/>
    <n v="3.6821917808219178"/>
    <n v="16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1" dataOnRows="1" applyNumberFormats="0" applyBorderFormats="0" applyFontFormats="0" applyPatternFormats="0" applyAlignmentFormats="0" applyWidthHeightFormats="1" dataCaption="Values" updatedVersion="6" minRefreshableVersion="3" useAutoFormatting="1" colGrandTotals="0" createdVersion="5" indent="0" compact="0" outline="1" outlineData="1" compactData="0" multipleFieldFilters="0">
  <location ref="C6:E11" firstHeaderRow="1" firstDataRow="2" firstDataCol="1"/>
  <pivotFields count="9">
    <pivotField dataField="1" compact="0" showAll="0"/>
    <pivotField axis="axisCol" compact="0" multipleItemSelectionAllowed="1" showAll="0">
      <items count="4">
        <item x="1"/>
        <item x="0"/>
        <item h="1" x="2"/>
        <item t="default"/>
      </items>
    </pivotField>
    <pivotField compact="0" showAll="0"/>
    <pivotField dataField="1" compact="0" showAll="0"/>
    <pivotField compact="0" numFmtId="168" showAll="0"/>
    <pivotField dataField="1" compact="0" numFmtId="169" showAll="0"/>
    <pivotField compact="0" showAll="0"/>
    <pivotField compact="0" showAll="0">
      <items count="3">
        <item h="1" x="0"/>
        <item x="1"/>
        <item t="default"/>
      </items>
    </pivotField>
    <pivotField dataField="1" compact="0" numFmtId="170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2">
    <i>
      <x/>
    </i>
    <i>
      <x v="1"/>
    </i>
  </colItems>
  <dataFields count="4">
    <dataField name="Count of Name" fld="0" subtotal="count" baseField="0" baseItem="0"/>
    <dataField name="Average of Age" fld="3" subtotal="average" baseField="0" baseItem="0"/>
    <dataField name="Average of Salary" fld="5" subtotal="average" baseField="0" baseItem="0" numFmtId="173"/>
    <dataField name="Average of Tenur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7" cacheId="3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1">
  <location ref="T104:U110" firstHeaderRow="1" firstDataRow="1" firstDataCol="1" rowPageCount="1" colPageCount="1"/>
  <pivotFields count="10">
    <pivotField dataField="1" compact="0" outline="0" showAll="0"/>
    <pivotField compact="0" outline="0" showAll="0"/>
    <pivotField axis="axisRow" compact="0" outline="0" showAll="0" sortType="descending">
      <items count="6">
        <item x="3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8" outline="0" showAll="0"/>
    <pivotField compact="0" numFmtId="169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numFmtId="170" outline="0" showAll="0"/>
    <pivotField compact="0" numFmtId="169" outline="0" showAll="0"/>
  </pivotFields>
  <rowFields count="1">
    <field x="2"/>
  </rowFields>
  <rowItems count="6">
    <i>
      <x v="4"/>
    </i>
    <i>
      <x v="2"/>
    </i>
    <i>
      <x/>
    </i>
    <i>
      <x v="3"/>
    </i>
    <i>
      <x v="1"/>
    </i>
    <i t="grand">
      <x/>
    </i>
  </rowItems>
  <colItems count="1">
    <i/>
  </colItems>
  <pageFields count="1">
    <pageField fld="7" item="1" hier="0"/>
  </pageField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6" cacheId="3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1">
  <location ref="Z103:AA109" firstHeaderRow="1" firstDataRow="1" firstDataCol="1" rowPageCount="1" colPageCount="1"/>
  <pivotFields count="10">
    <pivotField dataField="1" compact="0" outline="0" showAll="0"/>
    <pivotField compact="0" outline="0" showAll="0"/>
    <pivotField axis="axisRow" compact="0" outline="0" showAll="0" sortType="descending">
      <items count="6">
        <item x="3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8" outline="0" showAll="0"/>
    <pivotField compact="0" numFmtId="169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numFmtId="170" outline="0" showAll="0"/>
    <pivotField compact="0" numFmtId="169" outline="0" showAll="0"/>
  </pivotFields>
  <rowFields count="1">
    <field x="2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pageFields count="1">
    <pageField fld="7" item="0" hier="0"/>
  </pageField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4" cacheId="2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1">
  <location ref="P73:Q78" firstHeaderRow="1" firstDataRow="1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numFmtId="169" outline="0" showAll="0"/>
    <pivotField compact="0" outline="0" showAll="0"/>
    <pivotField compact="0" outline="0" showAll="0"/>
    <pivotField compact="0" numFmtId="170" outline="0" showAll="0"/>
    <pivotField compact="0" numFmtId="169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N36:P42" firstHeaderRow="0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dataField="1" compact="0" numFmtId="169" outline="0" showAll="0"/>
    <pivotField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numFmtId="170" outline="0" showAll="0"/>
    <pivotField compact="0" numFmtId="169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ame" fld="0" subtotal="count" baseField="0" baseItem="0"/>
    <dataField name="Average of Salary" fld="5" subtotal="average" baseField="0" baseItem="0" numFmtId="169"/>
  </dataFields>
  <formats count="1">
    <format dxfId="0">
      <pivotArea outline="0" fieldPosition="0">
        <references count="2">
          <reference field="4294967294" count="1" selected="0">
            <x v="1"/>
          </reference>
          <reference field="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00000000-0013-0000-FFFF-FFFF01000000}" sourceName="Country">
  <pivotTables>
    <pivotTable tabId="6" name="PivotTable2"/>
  </pivotTables>
  <data>
    <tabular pivotCacheId="1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00000000-0014-0000-FFFF-FFFF01000000}" cache="Slicer_Country" caption="Country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7"/>
  <sheetViews>
    <sheetView tabSelected="1" workbookViewId="0">
      <selection activeCell="H10" sqref="H10"/>
    </sheetView>
  </sheetViews>
  <sheetFormatPr defaultColWidth="8.88671875" defaultRowHeight="14.4"/>
  <cols>
    <col min="2" max="2" width="9" customWidth="1"/>
    <col min="3" max="3" width="44.88671875" customWidth="1"/>
  </cols>
  <sheetData>
    <row r="3" spans="2:5" ht="23.4">
      <c r="B3" s="57">
        <v>1</v>
      </c>
      <c r="C3" s="57" t="s">
        <v>0</v>
      </c>
      <c r="D3" s="57"/>
      <c r="E3" s="57"/>
    </row>
    <row r="4" spans="2:5" ht="23.4">
      <c r="B4" s="57">
        <v>2</v>
      </c>
      <c r="C4" s="57" t="s">
        <v>1</v>
      </c>
      <c r="D4" s="57"/>
      <c r="E4" s="57"/>
    </row>
    <row r="5" spans="2:5" ht="23.4">
      <c r="B5" s="57">
        <v>3</v>
      </c>
      <c r="C5" s="57" t="s">
        <v>2</v>
      </c>
      <c r="D5" s="57"/>
      <c r="E5" s="57"/>
    </row>
    <row r="6" spans="2:5" ht="23.4">
      <c r="B6" s="57">
        <v>4</v>
      </c>
      <c r="C6" s="57" t="s">
        <v>3</v>
      </c>
      <c r="D6" s="57"/>
      <c r="E6" s="57"/>
    </row>
    <row r="7" spans="2:5" ht="23.4">
      <c r="B7" s="57">
        <v>5</v>
      </c>
      <c r="C7" s="57" t="s">
        <v>4</v>
      </c>
      <c r="D7" s="57"/>
      <c r="E7" s="5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"/>
  <sheetViews>
    <sheetView showGridLines="0" topLeftCell="C112" workbookViewId="0">
      <selection activeCell="C28" sqref="C28"/>
    </sheetView>
  </sheetViews>
  <sheetFormatPr defaultColWidth="9" defaultRowHeight="14.4"/>
  <cols>
    <col min="1" max="1" width="1.77734375" customWidth="1"/>
    <col min="2" max="2" width="3.77734375" customWidth="1"/>
    <col min="3" max="3" width="39" customWidth="1"/>
    <col min="4" max="4" width="7.44140625" customWidth="1"/>
    <col min="5" max="5" width="12.44140625" customWidth="1"/>
    <col min="6" max="6" width="7.6640625" customWidth="1"/>
    <col min="7" max="7" width="11.44140625" customWidth="1"/>
    <col min="8" max="8" width="11.88671875" customWidth="1"/>
    <col min="9" max="9" width="14.109375" customWidth="1"/>
  </cols>
  <sheetData>
    <row r="1" spans="1:10" s="53" customFormat="1" ht="52.5" customHeight="1">
      <c r="A1" s="54"/>
      <c r="C1" s="55" t="s">
        <v>5</v>
      </c>
    </row>
    <row r="5" spans="1:10">
      <c r="C5" s="3" t="s">
        <v>6</v>
      </c>
      <c r="D5" s="3" t="s">
        <v>7</v>
      </c>
      <c r="E5" s="3" t="s">
        <v>8</v>
      </c>
      <c r="F5" s="3" t="s">
        <v>9</v>
      </c>
      <c r="G5" s="52" t="s">
        <v>10</v>
      </c>
      <c r="H5" s="3" t="s">
        <v>11</v>
      </c>
      <c r="I5" s="3" t="s">
        <v>12</v>
      </c>
      <c r="J5" s="3" t="s">
        <v>13</v>
      </c>
    </row>
    <row r="6" spans="1:10">
      <c r="C6" s="4" t="s">
        <v>14</v>
      </c>
      <c r="D6" s="4" t="s">
        <v>15</v>
      </c>
      <c r="E6" s="4" t="s">
        <v>16</v>
      </c>
      <c r="F6" s="4">
        <v>22</v>
      </c>
      <c r="G6" s="5">
        <v>44446</v>
      </c>
      <c r="H6" s="6">
        <v>112780</v>
      </c>
      <c r="I6" s="4" t="s">
        <v>17</v>
      </c>
      <c r="J6" s="4" t="s">
        <v>18</v>
      </c>
    </row>
    <row r="7" spans="1:10">
      <c r="C7" s="4" t="s">
        <v>19</v>
      </c>
      <c r="D7" s="4" t="s">
        <v>15</v>
      </c>
      <c r="E7" s="4" t="s">
        <v>20</v>
      </c>
      <c r="F7" s="4">
        <v>46</v>
      </c>
      <c r="G7" s="5">
        <v>44758</v>
      </c>
      <c r="H7" s="6">
        <v>70610</v>
      </c>
      <c r="I7" s="4" t="s">
        <v>21</v>
      </c>
      <c r="J7" s="4" t="s">
        <v>18</v>
      </c>
    </row>
    <row r="8" spans="1:10">
      <c r="C8" s="4" t="s">
        <v>22</v>
      </c>
      <c r="D8" s="4" t="s">
        <v>23</v>
      </c>
      <c r="E8" s="4" t="s">
        <v>16</v>
      </c>
      <c r="F8" s="4">
        <v>28</v>
      </c>
      <c r="G8" s="5">
        <v>44357</v>
      </c>
      <c r="H8" s="6">
        <v>53240</v>
      </c>
      <c r="I8" s="4" t="s">
        <v>21</v>
      </c>
      <c r="J8" s="4" t="s">
        <v>18</v>
      </c>
    </row>
    <row r="9" spans="1:10">
      <c r="C9" s="4" t="s">
        <v>24</v>
      </c>
      <c r="D9" s="4"/>
      <c r="E9" s="4" t="s">
        <v>25</v>
      </c>
      <c r="F9" s="4">
        <v>37</v>
      </c>
      <c r="G9" s="5">
        <v>44146</v>
      </c>
      <c r="H9" s="6">
        <v>115440</v>
      </c>
      <c r="I9" s="4" t="s">
        <v>26</v>
      </c>
      <c r="J9" s="4" t="s">
        <v>18</v>
      </c>
    </row>
    <row r="10" spans="1:10">
      <c r="C10" s="4" t="s">
        <v>27</v>
      </c>
      <c r="D10" s="4" t="s">
        <v>15</v>
      </c>
      <c r="E10" s="4" t="s">
        <v>16</v>
      </c>
      <c r="F10" s="4">
        <v>32</v>
      </c>
      <c r="G10" s="5">
        <v>44465</v>
      </c>
      <c r="H10" s="6">
        <v>53540</v>
      </c>
      <c r="I10" s="4" t="s">
        <v>21</v>
      </c>
      <c r="J10" s="4" t="s">
        <v>18</v>
      </c>
    </row>
    <row r="11" spans="1:10">
      <c r="C11" s="4" t="s">
        <v>28</v>
      </c>
      <c r="D11" s="4" t="s">
        <v>23</v>
      </c>
      <c r="E11" s="4" t="s">
        <v>20</v>
      </c>
      <c r="F11" s="4">
        <v>30</v>
      </c>
      <c r="G11" s="5">
        <v>44861</v>
      </c>
      <c r="H11" s="6">
        <v>112570</v>
      </c>
      <c r="I11" s="4" t="s">
        <v>21</v>
      </c>
      <c r="J11" s="4" t="s">
        <v>18</v>
      </c>
    </row>
    <row r="12" spans="1:10">
      <c r="C12" s="4" t="s">
        <v>29</v>
      </c>
      <c r="D12" s="4" t="s">
        <v>15</v>
      </c>
      <c r="E12" s="4" t="s">
        <v>20</v>
      </c>
      <c r="F12" s="4">
        <v>33</v>
      </c>
      <c r="G12" s="5">
        <v>44701</v>
      </c>
      <c r="H12" s="6">
        <v>48530</v>
      </c>
      <c r="I12" s="4" t="s">
        <v>17</v>
      </c>
      <c r="J12" s="4" t="s">
        <v>18</v>
      </c>
    </row>
    <row r="13" spans="1:10">
      <c r="C13" s="4" t="s">
        <v>30</v>
      </c>
      <c r="D13" s="4" t="s">
        <v>23</v>
      </c>
      <c r="E13" s="4" t="s">
        <v>31</v>
      </c>
      <c r="F13" s="4">
        <v>24</v>
      </c>
      <c r="G13" s="5">
        <v>44148</v>
      </c>
      <c r="H13" s="6">
        <v>62780</v>
      </c>
      <c r="I13" s="4" t="s">
        <v>21</v>
      </c>
      <c r="J13" s="4" t="s">
        <v>18</v>
      </c>
    </row>
    <row r="14" spans="1:10">
      <c r="C14" s="4" t="s">
        <v>32</v>
      </c>
      <c r="D14" s="4" t="s">
        <v>15</v>
      </c>
      <c r="E14" s="4" t="s">
        <v>31</v>
      </c>
      <c r="F14" s="4">
        <v>33</v>
      </c>
      <c r="G14" s="5">
        <v>44509</v>
      </c>
      <c r="H14" s="6">
        <v>53870</v>
      </c>
      <c r="I14" s="4" t="s">
        <v>21</v>
      </c>
      <c r="J14" s="4" t="s">
        <v>18</v>
      </c>
    </row>
    <row r="15" spans="1:10">
      <c r="C15" s="4" t="s">
        <v>33</v>
      </c>
      <c r="D15" s="4" t="s">
        <v>23</v>
      </c>
      <c r="E15" s="4" t="s">
        <v>34</v>
      </c>
      <c r="F15" s="4">
        <v>27</v>
      </c>
      <c r="G15" s="5">
        <v>44122</v>
      </c>
      <c r="H15" s="6">
        <v>119110</v>
      </c>
      <c r="I15" s="4" t="s">
        <v>21</v>
      </c>
      <c r="J15" s="4" t="s">
        <v>18</v>
      </c>
    </row>
    <row r="16" spans="1:10">
      <c r="C16" s="4" t="s">
        <v>35</v>
      </c>
      <c r="D16" s="4" t="s">
        <v>15</v>
      </c>
      <c r="E16" s="4" t="s">
        <v>31</v>
      </c>
      <c r="F16" s="4">
        <v>29</v>
      </c>
      <c r="G16" s="5">
        <v>44180</v>
      </c>
      <c r="H16" s="6">
        <v>112110</v>
      </c>
      <c r="I16" s="4" t="s">
        <v>26</v>
      </c>
      <c r="J16" s="4" t="s">
        <v>18</v>
      </c>
    </row>
    <row r="17" spans="3:10">
      <c r="C17" s="4" t="s">
        <v>36</v>
      </c>
      <c r="D17" s="4" t="s">
        <v>15</v>
      </c>
      <c r="E17" s="4" t="s">
        <v>16</v>
      </c>
      <c r="F17" s="4">
        <v>25</v>
      </c>
      <c r="G17" s="5">
        <v>44383</v>
      </c>
      <c r="H17" s="6">
        <v>65700</v>
      </c>
      <c r="I17" s="4" t="s">
        <v>21</v>
      </c>
      <c r="J17" s="4" t="s">
        <v>18</v>
      </c>
    </row>
    <row r="18" spans="3:10">
      <c r="C18" s="4" t="s">
        <v>37</v>
      </c>
      <c r="D18" s="4" t="s">
        <v>15</v>
      </c>
      <c r="E18" s="4" t="s">
        <v>31</v>
      </c>
      <c r="F18" s="4">
        <v>37</v>
      </c>
      <c r="G18" s="5">
        <v>44701</v>
      </c>
      <c r="H18" s="6">
        <v>69070</v>
      </c>
      <c r="I18" s="4" t="s">
        <v>21</v>
      </c>
      <c r="J18" s="4" t="s">
        <v>18</v>
      </c>
    </row>
    <row r="19" spans="3:10">
      <c r="C19" s="4" t="s">
        <v>38</v>
      </c>
      <c r="D19" s="4" t="s">
        <v>15</v>
      </c>
      <c r="E19" s="4" t="s">
        <v>31</v>
      </c>
      <c r="F19" s="4">
        <v>20</v>
      </c>
      <c r="G19" s="5">
        <v>44459</v>
      </c>
      <c r="H19" s="6">
        <v>107700</v>
      </c>
      <c r="I19" s="4" t="s">
        <v>21</v>
      </c>
      <c r="J19" s="4" t="s">
        <v>18</v>
      </c>
    </row>
    <row r="20" spans="3:10">
      <c r="C20" s="4" t="s">
        <v>39</v>
      </c>
      <c r="D20" s="4" t="s">
        <v>23</v>
      </c>
      <c r="E20" s="4" t="s">
        <v>31</v>
      </c>
      <c r="F20" s="4">
        <v>32</v>
      </c>
      <c r="G20" s="5">
        <v>44354</v>
      </c>
      <c r="H20" s="6">
        <v>43840</v>
      </c>
      <c r="I20" s="4" t="s">
        <v>17</v>
      </c>
      <c r="J20" s="4" t="s">
        <v>18</v>
      </c>
    </row>
    <row r="21" spans="3:10">
      <c r="C21" s="4" t="s">
        <v>40</v>
      </c>
      <c r="D21" s="4" t="s">
        <v>15</v>
      </c>
      <c r="E21" s="4" t="s">
        <v>20</v>
      </c>
      <c r="F21" s="4">
        <v>40</v>
      </c>
      <c r="G21" s="5">
        <v>44263</v>
      </c>
      <c r="H21" s="6">
        <v>99750</v>
      </c>
      <c r="I21" s="4" t="s">
        <v>21</v>
      </c>
      <c r="J21" s="4" t="s">
        <v>18</v>
      </c>
    </row>
    <row r="22" spans="3:10">
      <c r="C22" s="4" t="s">
        <v>41</v>
      </c>
      <c r="D22" s="4" t="s">
        <v>15</v>
      </c>
      <c r="E22" s="4" t="s">
        <v>20</v>
      </c>
      <c r="F22" s="4">
        <v>21</v>
      </c>
      <c r="G22" s="5">
        <v>44104</v>
      </c>
      <c r="H22" s="6">
        <v>37920</v>
      </c>
      <c r="I22" s="4" t="s">
        <v>21</v>
      </c>
      <c r="J22" s="4" t="s">
        <v>18</v>
      </c>
    </row>
    <row r="23" spans="3:10">
      <c r="C23" s="4" t="s">
        <v>42</v>
      </c>
      <c r="D23" s="4" t="s">
        <v>15</v>
      </c>
      <c r="E23" s="4" t="s">
        <v>20</v>
      </c>
      <c r="F23" s="4">
        <v>21</v>
      </c>
      <c r="G23" s="5">
        <v>44762</v>
      </c>
      <c r="H23" s="6">
        <v>57090</v>
      </c>
      <c r="I23" s="4" t="s">
        <v>21</v>
      </c>
      <c r="J23" s="4" t="s">
        <v>18</v>
      </c>
    </row>
    <row r="24" spans="3:10">
      <c r="C24" s="4" t="s">
        <v>43</v>
      </c>
      <c r="D24" s="4" t="s">
        <v>23</v>
      </c>
      <c r="E24" s="4" t="s">
        <v>31</v>
      </c>
      <c r="F24" s="4">
        <v>31</v>
      </c>
      <c r="G24" s="5">
        <v>44145</v>
      </c>
      <c r="H24" s="6">
        <v>41980</v>
      </c>
      <c r="I24" s="4" t="s">
        <v>21</v>
      </c>
      <c r="J24" s="4" t="s">
        <v>18</v>
      </c>
    </row>
    <row r="25" spans="3:10">
      <c r="C25" s="4" t="s">
        <v>44</v>
      </c>
      <c r="D25" s="4" t="s">
        <v>15</v>
      </c>
      <c r="E25" s="4" t="s">
        <v>34</v>
      </c>
      <c r="F25" s="4">
        <v>21</v>
      </c>
      <c r="G25" s="5">
        <v>44242</v>
      </c>
      <c r="H25" s="6">
        <v>75880</v>
      </c>
      <c r="I25" s="4" t="s">
        <v>21</v>
      </c>
      <c r="J25" s="4" t="s">
        <v>18</v>
      </c>
    </row>
    <row r="26" spans="3:10">
      <c r="C26" s="4" t="s">
        <v>45</v>
      </c>
      <c r="D26" s="4" t="s">
        <v>23</v>
      </c>
      <c r="E26" s="4" t="s">
        <v>25</v>
      </c>
      <c r="F26" s="4">
        <v>34</v>
      </c>
      <c r="G26" s="5">
        <v>44653</v>
      </c>
      <c r="H26" s="6">
        <v>58940</v>
      </c>
      <c r="I26" s="4" t="s">
        <v>21</v>
      </c>
      <c r="J26" s="4" t="s">
        <v>18</v>
      </c>
    </row>
    <row r="27" spans="3:10">
      <c r="C27" s="4" t="s">
        <v>46</v>
      </c>
      <c r="D27" s="4" t="s">
        <v>23</v>
      </c>
      <c r="E27" s="4" t="s">
        <v>25</v>
      </c>
      <c r="F27" s="4">
        <v>30</v>
      </c>
      <c r="G27" s="5">
        <v>44389</v>
      </c>
      <c r="H27" s="6">
        <v>67910</v>
      </c>
      <c r="I27" s="4" t="s">
        <v>26</v>
      </c>
      <c r="J27" s="4" t="s">
        <v>18</v>
      </c>
    </row>
    <row r="28" spans="3:10">
      <c r="C28" s="4"/>
      <c r="D28" s="4" t="s">
        <v>23</v>
      </c>
      <c r="E28" s="4" t="s">
        <v>31</v>
      </c>
      <c r="F28" s="4">
        <v>31</v>
      </c>
      <c r="G28" s="5">
        <v>44663</v>
      </c>
      <c r="H28" s="6">
        <v>58100</v>
      </c>
      <c r="I28" s="4" t="s">
        <v>21</v>
      </c>
      <c r="J28" s="4" t="s">
        <v>18</v>
      </c>
    </row>
    <row r="29" spans="3:10">
      <c r="C29" s="4" t="s">
        <v>48</v>
      </c>
      <c r="D29" s="4" t="s">
        <v>15</v>
      </c>
      <c r="E29" s="4" t="s">
        <v>25</v>
      </c>
      <c r="F29" s="4">
        <v>27</v>
      </c>
      <c r="G29" s="5">
        <v>44567</v>
      </c>
      <c r="H29" s="6">
        <v>48980</v>
      </c>
      <c r="I29" s="4" t="s">
        <v>21</v>
      </c>
      <c r="J29" s="4" t="s">
        <v>18</v>
      </c>
    </row>
    <row r="30" spans="3:10">
      <c r="C30" s="4" t="s">
        <v>49</v>
      </c>
      <c r="D30" s="4"/>
      <c r="E30" s="4" t="s">
        <v>25</v>
      </c>
      <c r="F30" s="4">
        <v>30</v>
      </c>
      <c r="G30" s="5">
        <v>44597</v>
      </c>
      <c r="H30" s="6">
        <v>64000</v>
      </c>
      <c r="I30" s="4" t="s">
        <v>21</v>
      </c>
      <c r="J30" s="4" t="s">
        <v>18</v>
      </c>
    </row>
    <row r="31" spans="3:10">
      <c r="C31" s="4" t="s">
        <v>50</v>
      </c>
      <c r="D31" s="4" t="s">
        <v>23</v>
      </c>
      <c r="E31" s="4" t="s">
        <v>20</v>
      </c>
      <c r="F31" s="4">
        <v>42</v>
      </c>
      <c r="G31" s="5">
        <v>44779</v>
      </c>
      <c r="H31" s="6">
        <v>75000</v>
      </c>
      <c r="I31" s="4" t="s">
        <v>51</v>
      </c>
      <c r="J31" s="4" t="s">
        <v>18</v>
      </c>
    </row>
    <row r="32" spans="3:10">
      <c r="C32" s="4" t="s">
        <v>52</v>
      </c>
      <c r="D32" s="4" t="s">
        <v>23</v>
      </c>
      <c r="E32" s="4" t="s">
        <v>31</v>
      </c>
      <c r="F32" s="4">
        <v>40</v>
      </c>
      <c r="G32" s="5">
        <v>44337</v>
      </c>
      <c r="H32" s="6">
        <v>87620</v>
      </c>
      <c r="I32" s="4" t="s">
        <v>21</v>
      </c>
      <c r="J32" s="4" t="s">
        <v>18</v>
      </c>
    </row>
    <row r="33" spans="3:10">
      <c r="C33" s="4" t="s">
        <v>53</v>
      </c>
      <c r="D33" s="4" t="s">
        <v>23</v>
      </c>
      <c r="E33" s="4" t="s">
        <v>31</v>
      </c>
      <c r="F33" s="4">
        <v>29</v>
      </c>
      <c r="G33" s="5">
        <v>44023</v>
      </c>
      <c r="H33" s="6">
        <v>34980</v>
      </c>
      <c r="I33" s="4" t="s">
        <v>21</v>
      </c>
      <c r="J33" s="4" t="s">
        <v>18</v>
      </c>
    </row>
    <row r="34" spans="3:10">
      <c r="C34" s="4" t="s">
        <v>54</v>
      </c>
      <c r="D34" s="4" t="s">
        <v>23</v>
      </c>
      <c r="E34" s="4" t="s">
        <v>25</v>
      </c>
      <c r="F34" s="4">
        <v>28</v>
      </c>
      <c r="G34" s="5">
        <v>44185</v>
      </c>
      <c r="H34" s="6">
        <v>75970</v>
      </c>
      <c r="I34" s="4" t="s">
        <v>21</v>
      </c>
      <c r="J34" s="4" t="s">
        <v>18</v>
      </c>
    </row>
    <row r="35" spans="3:10">
      <c r="C35" s="4" t="s">
        <v>55</v>
      </c>
      <c r="D35" s="4" t="s">
        <v>23</v>
      </c>
      <c r="E35" s="4" t="s">
        <v>25</v>
      </c>
      <c r="F35" s="4">
        <v>34</v>
      </c>
      <c r="G35" s="5">
        <v>44612</v>
      </c>
      <c r="H35" s="6">
        <v>60130</v>
      </c>
      <c r="I35" s="4" t="s">
        <v>21</v>
      </c>
      <c r="J35" s="4" t="s">
        <v>18</v>
      </c>
    </row>
    <row r="36" spans="3:10">
      <c r="C36" s="4" t="s">
        <v>56</v>
      </c>
      <c r="D36" s="4" t="s">
        <v>23</v>
      </c>
      <c r="E36" s="4" t="s">
        <v>31</v>
      </c>
      <c r="F36" s="4">
        <v>33</v>
      </c>
      <c r="G36" s="5">
        <v>44374</v>
      </c>
      <c r="H36" s="6">
        <v>75480</v>
      </c>
      <c r="I36" s="4" t="s">
        <v>57</v>
      </c>
      <c r="J36" s="4" t="s">
        <v>18</v>
      </c>
    </row>
    <row r="37" spans="3:10">
      <c r="C37" s="4" t="s">
        <v>58</v>
      </c>
      <c r="D37" s="4" t="s">
        <v>15</v>
      </c>
      <c r="E37" s="4" t="s">
        <v>20</v>
      </c>
      <c r="F37" s="4">
        <v>33</v>
      </c>
      <c r="G37" s="5">
        <v>44164</v>
      </c>
      <c r="H37" s="6">
        <v>115920</v>
      </c>
      <c r="I37" s="4" t="s">
        <v>21</v>
      </c>
      <c r="J37" s="4" t="s">
        <v>18</v>
      </c>
    </row>
    <row r="38" spans="3:10">
      <c r="C38" s="4" t="s">
        <v>59</v>
      </c>
      <c r="D38" s="4" t="s">
        <v>23</v>
      </c>
      <c r="E38" s="4" t="s">
        <v>16</v>
      </c>
      <c r="F38" s="4">
        <v>36</v>
      </c>
      <c r="G38" s="5">
        <v>44494</v>
      </c>
      <c r="H38" s="6">
        <v>78540</v>
      </c>
      <c r="I38" s="4" t="s">
        <v>21</v>
      </c>
      <c r="J38" s="4" t="s">
        <v>18</v>
      </c>
    </row>
    <row r="39" spans="3:10">
      <c r="C39" s="4" t="s">
        <v>60</v>
      </c>
      <c r="D39" s="4" t="s">
        <v>15</v>
      </c>
      <c r="E39" s="4" t="s">
        <v>20</v>
      </c>
      <c r="F39" s="4">
        <v>25</v>
      </c>
      <c r="G39" s="5">
        <v>44726</v>
      </c>
      <c r="H39" s="6">
        <v>109190</v>
      </c>
      <c r="I39" s="4" t="s">
        <v>17</v>
      </c>
      <c r="J39" s="4" t="s">
        <v>18</v>
      </c>
    </row>
    <row r="40" spans="3:10">
      <c r="C40" s="4" t="s">
        <v>61</v>
      </c>
      <c r="D40" s="4" t="s">
        <v>23</v>
      </c>
      <c r="E40" s="4" t="s">
        <v>16</v>
      </c>
      <c r="F40" s="4">
        <v>34</v>
      </c>
      <c r="G40" s="5">
        <v>44721</v>
      </c>
      <c r="H40" s="6">
        <v>49630</v>
      </c>
      <c r="I40" s="4" t="s">
        <v>26</v>
      </c>
      <c r="J40" s="4" t="s">
        <v>18</v>
      </c>
    </row>
    <row r="41" spans="3:10">
      <c r="C41" s="4" t="s">
        <v>62</v>
      </c>
      <c r="D41" s="4" t="s">
        <v>23</v>
      </c>
      <c r="E41" s="4" t="s">
        <v>20</v>
      </c>
      <c r="F41" s="4">
        <v>28</v>
      </c>
      <c r="G41" s="5">
        <v>44630</v>
      </c>
      <c r="H41" s="6">
        <v>99970</v>
      </c>
      <c r="I41" s="4" t="s">
        <v>21</v>
      </c>
      <c r="J41" s="4" t="s">
        <v>18</v>
      </c>
    </row>
    <row r="42" spans="3:10">
      <c r="C42" s="4" t="s">
        <v>63</v>
      </c>
      <c r="D42" s="4" t="s">
        <v>23</v>
      </c>
      <c r="E42" s="4" t="s">
        <v>31</v>
      </c>
      <c r="F42" s="4">
        <v>33</v>
      </c>
      <c r="G42" s="5">
        <v>44190</v>
      </c>
      <c r="H42" s="6">
        <v>96140</v>
      </c>
      <c r="I42" s="4" t="s">
        <v>21</v>
      </c>
      <c r="J42" s="4" t="s">
        <v>18</v>
      </c>
    </row>
    <row r="43" spans="3:10">
      <c r="C43" s="4" t="s">
        <v>64</v>
      </c>
      <c r="D43" s="4" t="s">
        <v>15</v>
      </c>
      <c r="E43" s="4" t="s">
        <v>20</v>
      </c>
      <c r="F43" s="4">
        <v>31</v>
      </c>
      <c r="G43" s="5">
        <v>44724</v>
      </c>
      <c r="H43" s="6">
        <v>103550</v>
      </c>
      <c r="I43" s="4" t="s">
        <v>21</v>
      </c>
      <c r="J43" s="4" t="s">
        <v>18</v>
      </c>
    </row>
    <row r="44" spans="3:10">
      <c r="C44" s="4" t="s">
        <v>65</v>
      </c>
      <c r="D44" s="4" t="s">
        <v>15</v>
      </c>
      <c r="E44" s="4" t="s">
        <v>31</v>
      </c>
      <c r="F44" s="4">
        <v>31</v>
      </c>
      <c r="G44" s="5">
        <v>44511</v>
      </c>
      <c r="H44" s="6">
        <v>48950</v>
      </c>
      <c r="I44" s="4" t="s">
        <v>21</v>
      </c>
      <c r="J44" s="4" t="s">
        <v>18</v>
      </c>
    </row>
    <row r="45" spans="3:10">
      <c r="C45" s="4" t="s">
        <v>66</v>
      </c>
      <c r="D45" s="4" t="s">
        <v>15</v>
      </c>
      <c r="E45" s="4" t="s">
        <v>25</v>
      </c>
      <c r="F45" s="4">
        <v>24</v>
      </c>
      <c r="G45" s="5">
        <v>44436</v>
      </c>
      <c r="H45" s="6">
        <v>52610</v>
      </c>
      <c r="I45" s="4" t="s">
        <v>26</v>
      </c>
      <c r="J45" s="4" t="s">
        <v>18</v>
      </c>
    </row>
    <row r="46" spans="3:10">
      <c r="C46" s="4" t="s">
        <v>67</v>
      </c>
      <c r="D46" s="4" t="s">
        <v>23</v>
      </c>
      <c r="E46" s="4" t="s">
        <v>20</v>
      </c>
      <c r="F46" s="4">
        <v>36</v>
      </c>
      <c r="G46" s="5">
        <v>44529</v>
      </c>
      <c r="H46" s="6">
        <v>78390</v>
      </c>
      <c r="I46" s="4" t="s">
        <v>21</v>
      </c>
      <c r="J46" s="4" t="s">
        <v>18</v>
      </c>
    </row>
    <row r="47" spans="3:10">
      <c r="C47" s="4" t="s">
        <v>68</v>
      </c>
      <c r="D47" s="4" t="s">
        <v>23</v>
      </c>
      <c r="E47" s="4" t="s">
        <v>25</v>
      </c>
      <c r="F47" s="4">
        <v>33</v>
      </c>
      <c r="G47" s="5">
        <v>44809</v>
      </c>
      <c r="H47" s="6">
        <v>86570</v>
      </c>
      <c r="I47" s="4" t="s">
        <v>21</v>
      </c>
      <c r="J47" s="4" t="s">
        <v>18</v>
      </c>
    </row>
    <row r="48" spans="3:10">
      <c r="C48" s="4" t="s">
        <v>69</v>
      </c>
      <c r="D48" s="4" t="s">
        <v>23</v>
      </c>
      <c r="E48" s="4" t="s">
        <v>31</v>
      </c>
      <c r="F48" s="4">
        <v>27</v>
      </c>
      <c r="G48" s="5">
        <v>44686</v>
      </c>
      <c r="H48" s="6">
        <v>83750</v>
      </c>
      <c r="I48" s="4" t="s">
        <v>21</v>
      </c>
      <c r="J48" s="4" t="s">
        <v>18</v>
      </c>
    </row>
    <row r="49" spans="3:10">
      <c r="C49" s="4" t="s">
        <v>70</v>
      </c>
      <c r="D49" s="4" t="s">
        <v>23</v>
      </c>
      <c r="E49" s="4" t="s">
        <v>25</v>
      </c>
      <c r="F49" s="4">
        <v>34</v>
      </c>
      <c r="G49" s="5">
        <v>44445</v>
      </c>
      <c r="H49" s="6">
        <v>92450</v>
      </c>
      <c r="I49" s="4" t="s">
        <v>21</v>
      </c>
      <c r="J49" s="4" t="s">
        <v>18</v>
      </c>
    </row>
    <row r="50" spans="3:10">
      <c r="C50" s="4" t="s">
        <v>71</v>
      </c>
      <c r="D50" s="4" t="s">
        <v>15</v>
      </c>
      <c r="E50" s="4" t="s">
        <v>31</v>
      </c>
      <c r="F50" s="4">
        <v>20</v>
      </c>
      <c r="G50" s="5">
        <v>44183</v>
      </c>
      <c r="H50" s="6">
        <v>112650</v>
      </c>
      <c r="I50" s="4" t="s">
        <v>21</v>
      </c>
      <c r="J50" s="4" t="s">
        <v>18</v>
      </c>
    </row>
    <row r="51" spans="3:10">
      <c r="C51" s="4" t="s">
        <v>72</v>
      </c>
      <c r="D51" s="4" t="s">
        <v>15</v>
      </c>
      <c r="E51" s="4" t="s">
        <v>20</v>
      </c>
      <c r="F51" s="4">
        <v>20</v>
      </c>
      <c r="G51" s="5">
        <v>44744</v>
      </c>
      <c r="H51" s="6">
        <v>79570</v>
      </c>
      <c r="I51" s="4" t="s">
        <v>21</v>
      </c>
      <c r="J51" s="4" t="s">
        <v>18</v>
      </c>
    </row>
    <row r="52" spans="3:10">
      <c r="C52" s="4" t="s">
        <v>73</v>
      </c>
      <c r="D52" s="4" t="s">
        <v>23</v>
      </c>
      <c r="E52" s="4" t="s">
        <v>16</v>
      </c>
      <c r="F52" s="4">
        <v>20</v>
      </c>
      <c r="G52" s="5">
        <v>44537</v>
      </c>
      <c r="H52" s="6">
        <v>68900</v>
      </c>
      <c r="I52" s="4" t="s">
        <v>26</v>
      </c>
      <c r="J52" s="4" t="s">
        <v>18</v>
      </c>
    </row>
    <row r="53" spans="3:10">
      <c r="C53" s="4" t="s">
        <v>74</v>
      </c>
      <c r="D53" s="4" t="s">
        <v>23</v>
      </c>
      <c r="E53" s="4" t="s">
        <v>31</v>
      </c>
      <c r="F53" s="4">
        <v>25</v>
      </c>
      <c r="G53" s="5">
        <v>44694</v>
      </c>
      <c r="H53" s="6">
        <v>80700</v>
      </c>
      <c r="I53" s="4" t="s">
        <v>17</v>
      </c>
      <c r="J53" s="4" t="s">
        <v>18</v>
      </c>
    </row>
    <row r="54" spans="3:10">
      <c r="C54" s="4" t="s">
        <v>75</v>
      </c>
      <c r="D54" s="4" t="s">
        <v>15</v>
      </c>
      <c r="E54" s="4" t="s">
        <v>20</v>
      </c>
      <c r="F54" s="4">
        <v>19</v>
      </c>
      <c r="G54" s="5">
        <v>44277</v>
      </c>
      <c r="H54" s="6">
        <v>58960</v>
      </c>
      <c r="I54" s="4" t="s">
        <v>21</v>
      </c>
      <c r="J54" s="4" t="s">
        <v>18</v>
      </c>
    </row>
    <row r="55" spans="3:10">
      <c r="C55" s="4" t="s">
        <v>76</v>
      </c>
      <c r="D55" s="4" t="s">
        <v>15</v>
      </c>
      <c r="E55" s="4" t="s">
        <v>31</v>
      </c>
      <c r="F55" s="4">
        <v>36</v>
      </c>
      <c r="G55" s="5">
        <v>44019</v>
      </c>
      <c r="H55" s="6">
        <v>118840</v>
      </c>
      <c r="I55" s="4" t="s">
        <v>21</v>
      </c>
      <c r="J55" s="4" t="s">
        <v>18</v>
      </c>
    </row>
    <row r="56" spans="3:10">
      <c r="C56" s="4" t="s">
        <v>77</v>
      </c>
      <c r="D56" s="4" t="s">
        <v>15</v>
      </c>
      <c r="E56" s="4" t="s">
        <v>25</v>
      </c>
      <c r="F56" s="4">
        <v>28</v>
      </c>
      <c r="G56" s="5">
        <v>44041</v>
      </c>
      <c r="H56" s="6">
        <v>48170</v>
      </c>
      <c r="I56" s="4" t="s">
        <v>17</v>
      </c>
      <c r="J56" s="4" t="s">
        <v>18</v>
      </c>
    </row>
    <row r="57" spans="3:10">
      <c r="C57" s="4" t="s">
        <v>78</v>
      </c>
      <c r="D57" s="4" t="s">
        <v>23</v>
      </c>
      <c r="E57" s="4" t="s">
        <v>34</v>
      </c>
      <c r="F57" s="4">
        <v>32</v>
      </c>
      <c r="G57" s="5">
        <v>44400</v>
      </c>
      <c r="H57" s="6">
        <v>45510</v>
      </c>
      <c r="I57" s="4" t="s">
        <v>21</v>
      </c>
      <c r="J57" s="4" t="s">
        <v>18</v>
      </c>
    </row>
    <row r="58" spans="3:10">
      <c r="C58" s="4" t="s">
        <v>71</v>
      </c>
      <c r="D58" s="4" t="s">
        <v>15</v>
      </c>
      <c r="E58" s="4" t="s">
        <v>20</v>
      </c>
      <c r="F58" s="4">
        <v>34</v>
      </c>
      <c r="G58" s="5">
        <v>44703</v>
      </c>
      <c r="H58" s="6">
        <v>112650</v>
      </c>
      <c r="I58" s="4" t="s">
        <v>21</v>
      </c>
      <c r="J58" s="4" t="s">
        <v>18</v>
      </c>
    </row>
    <row r="59" spans="3:10">
      <c r="C59" s="4" t="s">
        <v>79</v>
      </c>
      <c r="D59" s="4" t="s">
        <v>23</v>
      </c>
      <c r="E59" s="4" t="s">
        <v>20</v>
      </c>
      <c r="F59" s="4">
        <v>36</v>
      </c>
      <c r="G59" s="5">
        <v>44085</v>
      </c>
      <c r="H59" s="6">
        <v>114890</v>
      </c>
      <c r="I59" s="4" t="s">
        <v>21</v>
      </c>
      <c r="J59" s="4" t="s">
        <v>18</v>
      </c>
    </row>
    <row r="60" spans="3:10">
      <c r="C60" s="4" t="s">
        <v>80</v>
      </c>
      <c r="D60" s="4" t="s">
        <v>15</v>
      </c>
      <c r="E60" s="4" t="s">
        <v>31</v>
      </c>
      <c r="F60" s="4">
        <v>30</v>
      </c>
      <c r="G60" s="5">
        <v>44850</v>
      </c>
      <c r="H60" s="6">
        <v>69710</v>
      </c>
      <c r="I60" s="4" t="s">
        <v>21</v>
      </c>
      <c r="J60" s="4" t="s">
        <v>18</v>
      </c>
    </row>
    <row r="61" spans="3:10">
      <c r="C61" s="4" t="s">
        <v>81</v>
      </c>
      <c r="D61" s="4" t="s">
        <v>15</v>
      </c>
      <c r="E61" s="4" t="s">
        <v>25</v>
      </c>
      <c r="F61" s="4">
        <v>36</v>
      </c>
      <c r="G61" s="5">
        <v>44333</v>
      </c>
      <c r="H61" s="6">
        <v>71380</v>
      </c>
      <c r="I61" s="4" t="s">
        <v>21</v>
      </c>
      <c r="J61" s="4" t="s">
        <v>18</v>
      </c>
    </row>
    <row r="62" spans="3:10">
      <c r="C62" s="4" t="s">
        <v>82</v>
      </c>
      <c r="D62" s="4" t="s">
        <v>23</v>
      </c>
      <c r="E62" s="4" t="s">
        <v>16</v>
      </c>
      <c r="F62" s="4">
        <v>38</v>
      </c>
      <c r="G62" s="5">
        <v>44377</v>
      </c>
      <c r="H62" s="6">
        <v>109160</v>
      </c>
      <c r="I62" s="4" t="s">
        <v>51</v>
      </c>
      <c r="J62" s="4" t="s">
        <v>18</v>
      </c>
    </row>
    <row r="63" spans="3:10">
      <c r="C63" s="4" t="s">
        <v>83</v>
      </c>
      <c r="D63" s="4" t="s">
        <v>15</v>
      </c>
      <c r="E63" s="4" t="s">
        <v>20</v>
      </c>
      <c r="F63" s="4">
        <v>27</v>
      </c>
      <c r="G63" s="5">
        <v>44609</v>
      </c>
      <c r="H63" s="6">
        <v>113280</v>
      </c>
      <c r="I63" s="4" t="s">
        <v>57</v>
      </c>
      <c r="J63" s="4" t="s">
        <v>18</v>
      </c>
    </row>
    <row r="64" spans="3:10">
      <c r="C64" s="4" t="s">
        <v>84</v>
      </c>
      <c r="D64" s="4" t="s">
        <v>15</v>
      </c>
      <c r="E64" s="4" t="s">
        <v>31</v>
      </c>
      <c r="F64" s="4">
        <v>30</v>
      </c>
      <c r="G64" s="5">
        <v>44273</v>
      </c>
      <c r="H64" s="6">
        <v>69120</v>
      </c>
      <c r="I64" s="4" t="s">
        <v>21</v>
      </c>
      <c r="J64" s="4" t="s">
        <v>18</v>
      </c>
    </row>
    <row r="65" spans="3:10">
      <c r="C65" s="4" t="s">
        <v>85</v>
      </c>
      <c r="D65" s="4" t="s">
        <v>23</v>
      </c>
      <c r="E65" s="4" t="s">
        <v>34</v>
      </c>
      <c r="F65" s="4">
        <v>37</v>
      </c>
      <c r="G65" s="5">
        <v>44451</v>
      </c>
      <c r="H65" s="6">
        <v>118100</v>
      </c>
      <c r="I65" s="4" t="s">
        <v>21</v>
      </c>
      <c r="J65" s="4" t="s">
        <v>18</v>
      </c>
    </row>
    <row r="66" spans="3:10">
      <c r="C66" s="4" t="s">
        <v>86</v>
      </c>
      <c r="D66" s="4" t="s">
        <v>23</v>
      </c>
      <c r="E66" s="4" t="s">
        <v>20</v>
      </c>
      <c r="F66" s="4">
        <v>22</v>
      </c>
      <c r="G66" s="5">
        <v>44450</v>
      </c>
      <c r="H66" s="6">
        <v>76900</v>
      </c>
      <c r="I66" s="4" t="s">
        <v>17</v>
      </c>
      <c r="J66" s="4" t="s">
        <v>18</v>
      </c>
    </row>
    <row r="67" spans="3:10">
      <c r="C67" s="4" t="s">
        <v>87</v>
      </c>
      <c r="D67" s="4" t="s">
        <v>23</v>
      </c>
      <c r="E67" s="4" t="s">
        <v>31</v>
      </c>
      <c r="F67" s="4">
        <v>43</v>
      </c>
      <c r="G67" s="5">
        <v>45045</v>
      </c>
      <c r="H67" s="6">
        <v>114870</v>
      </c>
      <c r="I67" s="4" t="s">
        <v>21</v>
      </c>
      <c r="J67" s="4" t="s">
        <v>18</v>
      </c>
    </row>
    <row r="68" spans="3:10">
      <c r="C68" s="4" t="s">
        <v>88</v>
      </c>
      <c r="D68" s="4"/>
      <c r="E68" s="4" t="s">
        <v>31</v>
      </c>
      <c r="F68" s="4">
        <v>32</v>
      </c>
      <c r="G68" s="5">
        <v>44774</v>
      </c>
      <c r="H68" s="6">
        <v>91310</v>
      </c>
      <c r="I68" s="4" t="s">
        <v>21</v>
      </c>
      <c r="J68" s="4" t="s">
        <v>18</v>
      </c>
    </row>
    <row r="69" spans="3:10">
      <c r="C69" s="4" t="s">
        <v>89</v>
      </c>
      <c r="D69" s="4" t="s">
        <v>23</v>
      </c>
      <c r="E69" s="4" t="s">
        <v>20</v>
      </c>
      <c r="F69" s="4">
        <v>28</v>
      </c>
      <c r="G69" s="5">
        <v>44486</v>
      </c>
      <c r="H69" s="6">
        <v>104770</v>
      </c>
      <c r="I69" s="4" t="s">
        <v>21</v>
      </c>
      <c r="J69" s="4" t="s">
        <v>18</v>
      </c>
    </row>
    <row r="70" spans="3:10">
      <c r="C70" s="4" t="s">
        <v>90</v>
      </c>
      <c r="D70" s="4" t="s">
        <v>15</v>
      </c>
      <c r="E70" s="4" t="s">
        <v>16</v>
      </c>
      <c r="F70" s="4">
        <v>27</v>
      </c>
      <c r="G70" s="5">
        <v>44134</v>
      </c>
      <c r="H70" s="6">
        <v>54970</v>
      </c>
      <c r="I70" s="4" t="s">
        <v>21</v>
      </c>
      <c r="J70" s="4" t="s">
        <v>18</v>
      </c>
    </row>
    <row r="71" spans="3:10">
      <c r="C71" s="4" t="s">
        <v>91</v>
      </c>
      <c r="D71" s="4"/>
      <c r="E71" s="4" t="s">
        <v>31</v>
      </c>
      <c r="F71" s="4">
        <v>26</v>
      </c>
      <c r="G71" s="5">
        <v>44271</v>
      </c>
      <c r="H71" s="6">
        <v>90700</v>
      </c>
      <c r="I71" s="4" t="s">
        <v>17</v>
      </c>
      <c r="J71" s="4" t="s">
        <v>18</v>
      </c>
    </row>
    <row r="72" spans="3:10">
      <c r="C72" s="4" t="s">
        <v>92</v>
      </c>
      <c r="D72" s="4" t="s">
        <v>23</v>
      </c>
      <c r="E72" s="4" t="s">
        <v>16</v>
      </c>
      <c r="F72" s="4">
        <v>38</v>
      </c>
      <c r="G72" s="5">
        <v>44329</v>
      </c>
      <c r="H72" s="6">
        <v>56870</v>
      </c>
      <c r="I72" s="4" t="s">
        <v>17</v>
      </c>
      <c r="J72" s="4" t="s">
        <v>18</v>
      </c>
    </row>
    <row r="73" spans="3:10">
      <c r="C73" s="4" t="s">
        <v>93</v>
      </c>
      <c r="D73" s="4" t="s">
        <v>23</v>
      </c>
      <c r="E73" s="4" t="s">
        <v>16</v>
      </c>
      <c r="F73" s="4">
        <v>25</v>
      </c>
      <c r="G73" s="5">
        <v>44205</v>
      </c>
      <c r="H73" s="6">
        <v>92700</v>
      </c>
      <c r="I73" s="4" t="s">
        <v>21</v>
      </c>
      <c r="J73" s="4" t="s">
        <v>18</v>
      </c>
    </row>
    <row r="74" spans="3:10">
      <c r="C74" s="4" t="s">
        <v>94</v>
      </c>
      <c r="D74" s="4" t="s">
        <v>23</v>
      </c>
      <c r="E74" s="4" t="s">
        <v>25</v>
      </c>
      <c r="F74" s="4">
        <v>21</v>
      </c>
      <c r="G74" s="5">
        <v>44317</v>
      </c>
      <c r="H74" s="6">
        <v>65920</v>
      </c>
      <c r="I74" s="4" t="s">
        <v>21</v>
      </c>
      <c r="J74" s="4" t="s">
        <v>18</v>
      </c>
    </row>
    <row r="75" spans="3:10">
      <c r="C75" s="4" t="s">
        <v>95</v>
      </c>
      <c r="D75" s="4" t="s">
        <v>15</v>
      </c>
      <c r="E75" s="4" t="s">
        <v>20</v>
      </c>
      <c r="F75" s="4">
        <v>26</v>
      </c>
      <c r="G75" s="5">
        <v>44225</v>
      </c>
      <c r="H75" s="6">
        <v>47360</v>
      </c>
      <c r="I75" s="4" t="s">
        <v>21</v>
      </c>
      <c r="J75" s="4" t="s">
        <v>18</v>
      </c>
    </row>
    <row r="76" spans="3:10">
      <c r="C76" s="4" t="s">
        <v>96</v>
      </c>
      <c r="D76" s="4" t="s">
        <v>15</v>
      </c>
      <c r="E76" s="4" t="s">
        <v>20</v>
      </c>
      <c r="F76" s="4">
        <v>30</v>
      </c>
      <c r="G76" s="5">
        <v>44666</v>
      </c>
      <c r="H76" s="6">
        <v>60570</v>
      </c>
      <c r="I76" s="4" t="s">
        <v>21</v>
      </c>
      <c r="J76" s="4" t="s">
        <v>18</v>
      </c>
    </row>
    <row r="77" spans="3:10">
      <c r="C77" s="4" t="s">
        <v>97</v>
      </c>
      <c r="D77" s="4" t="s">
        <v>23</v>
      </c>
      <c r="E77" s="4" t="s">
        <v>20</v>
      </c>
      <c r="F77" s="4">
        <v>28</v>
      </c>
      <c r="G77" s="5">
        <v>44649</v>
      </c>
      <c r="H77" s="6">
        <v>104120</v>
      </c>
      <c r="I77" s="4" t="s">
        <v>21</v>
      </c>
      <c r="J77" s="4" t="s">
        <v>18</v>
      </c>
    </row>
    <row r="78" spans="3:10">
      <c r="C78" s="4" t="s">
        <v>98</v>
      </c>
      <c r="D78" s="4" t="s">
        <v>15</v>
      </c>
      <c r="E78" s="4" t="s">
        <v>31</v>
      </c>
      <c r="F78" s="4">
        <v>37</v>
      </c>
      <c r="G78" s="5">
        <v>44338</v>
      </c>
      <c r="H78" s="6">
        <v>88050</v>
      </c>
      <c r="I78" s="4" t="s">
        <v>26</v>
      </c>
      <c r="J78" s="4" t="s">
        <v>18</v>
      </c>
    </row>
    <row r="79" spans="3:10">
      <c r="C79" s="4" t="s">
        <v>99</v>
      </c>
      <c r="D79" s="4" t="s">
        <v>15</v>
      </c>
      <c r="E79" s="4" t="s">
        <v>31</v>
      </c>
      <c r="F79" s="4">
        <v>24</v>
      </c>
      <c r="G79" s="5">
        <v>44686</v>
      </c>
      <c r="H79" s="6">
        <v>100420</v>
      </c>
      <c r="I79" s="4" t="s">
        <v>21</v>
      </c>
      <c r="J79" s="4" t="s">
        <v>18</v>
      </c>
    </row>
    <row r="80" spans="3:10">
      <c r="C80" s="4" t="s">
        <v>100</v>
      </c>
      <c r="D80" s="4" t="s">
        <v>23</v>
      </c>
      <c r="E80" s="4" t="s">
        <v>20</v>
      </c>
      <c r="F80" s="4">
        <v>30</v>
      </c>
      <c r="G80" s="5">
        <v>44850</v>
      </c>
      <c r="H80" s="6">
        <v>114180</v>
      </c>
      <c r="I80" s="4" t="s">
        <v>21</v>
      </c>
      <c r="J80" s="4" t="s">
        <v>18</v>
      </c>
    </row>
    <row r="81" spans="3:10">
      <c r="C81" s="4" t="s">
        <v>101</v>
      </c>
      <c r="D81" s="4" t="s">
        <v>23</v>
      </c>
      <c r="E81" s="4" t="s">
        <v>31</v>
      </c>
      <c r="F81" s="4">
        <v>21</v>
      </c>
      <c r="G81" s="5">
        <v>44678</v>
      </c>
      <c r="H81" s="6">
        <v>33920</v>
      </c>
      <c r="I81" s="4" t="s">
        <v>21</v>
      </c>
      <c r="J81" s="4" t="s">
        <v>18</v>
      </c>
    </row>
    <row r="82" spans="3:10">
      <c r="C82" s="4" t="s">
        <v>102</v>
      </c>
      <c r="D82" s="4" t="s">
        <v>15</v>
      </c>
      <c r="E82" s="4" t="s">
        <v>20</v>
      </c>
      <c r="F82" s="4">
        <v>23</v>
      </c>
      <c r="G82" s="5">
        <v>44440</v>
      </c>
      <c r="H82" s="6">
        <v>106460</v>
      </c>
      <c r="I82" s="4" t="s">
        <v>21</v>
      </c>
      <c r="J82" s="4" t="s">
        <v>18</v>
      </c>
    </row>
    <row r="83" spans="3:10">
      <c r="C83" s="4" t="s">
        <v>103</v>
      </c>
      <c r="D83" s="4" t="s">
        <v>15</v>
      </c>
      <c r="E83" s="4" t="s">
        <v>20</v>
      </c>
      <c r="F83" s="4">
        <v>35</v>
      </c>
      <c r="G83" s="5">
        <v>44727</v>
      </c>
      <c r="H83" s="6">
        <v>40400</v>
      </c>
      <c r="I83" s="4" t="s">
        <v>21</v>
      </c>
      <c r="J83" s="4" t="s">
        <v>18</v>
      </c>
    </row>
    <row r="84" spans="3:10">
      <c r="C84" s="4" t="s">
        <v>104</v>
      </c>
      <c r="D84" s="4" t="s">
        <v>15</v>
      </c>
      <c r="E84" s="4" t="s">
        <v>25</v>
      </c>
      <c r="F84" s="4">
        <v>27</v>
      </c>
      <c r="G84" s="5">
        <v>44236</v>
      </c>
      <c r="H84" s="6">
        <v>91650</v>
      </c>
      <c r="I84" s="4" t="s">
        <v>17</v>
      </c>
      <c r="J84" s="4" t="s">
        <v>18</v>
      </c>
    </row>
    <row r="85" spans="3:10">
      <c r="C85" s="4" t="s">
        <v>105</v>
      </c>
      <c r="D85" s="4" t="s">
        <v>15</v>
      </c>
      <c r="E85" s="4" t="s">
        <v>16</v>
      </c>
      <c r="F85" s="4">
        <v>43</v>
      </c>
      <c r="G85" s="5">
        <v>44620</v>
      </c>
      <c r="H85" s="6">
        <v>36040</v>
      </c>
      <c r="I85" s="4" t="s">
        <v>21</v>
      </c>
      <c r="J85" s="4" t="s">
        <v>18</v>
      </c>
    </row>
    <row r="86" spans="3:10">
      <c r="C86" s="4" t="s">
        <v>106</v>
      </c>
      <c r="D86" s="4" t="s">
        <v>23</v>
      </c>
      <c r="E86" s="4" t="s">
        <v>31</v>
      </c>
      <c r="F86" s="4">
        <v>40</v>
      </c>
      <c r="G86" s="5">
        <v>44381</v>
      </c>
      <c r="H86" s="6">
        <v>104410</v>
      </c>
      <c r="I86" s="4" t="s">
        <v>21</v>
      </c>
      <c r="J86" s="4" t="s">
        <v>18</v>
      </c>
    </row>
    <row r="87" spans="3:10">
      <c r="C87" s="4" t="s">
        <v>107</v>
      </c>
      <c r="D87" s="4" t="s">
        <v>15</v>
      </c>
      <c r="E87" s="4" t="s">
        <v>25</v>
      </c>
      <c r="F87" s="4">
        <v>30</v>
      </c>
      <c r="G87" s="5">
        <v>44606</v>
      </c>
      <c r="H87" s="6">
        <v>96800</v>
      </c>
      <c r="I87" s="4" t="s">
        <v>21</v>
      </c>
      <c r="J87" s="4" t="s">
        <v>18</v>
      </c>
    </row>
    <row r="88" spans="3:10">
      <c r="C88" s="4" t="s">
        <v>108</v>
      </c>
      <c r="D88" s="4" t="s">
        <v>23</v>
      </c>
      <c r="E88" s="4" t="s">
        <v>25</v>
      </c>
      <c r="F88" s="4">
        <v>34</v>
      </c>
      <c r="G88" s="5">
        <v>44459</v>
      </c>
      <c r="H88" s="6">
        <v>85000</v>
      </c>
      <c r="I88" s="4" t="s">
        <v>21</v>
      </c>
      <c r="J88" s="4" t="s">
        <v>18</v>
      </c>
    </row>
    <row r="89" spans="3:10">
      <c r="C89" s="4" t="s">
        <v>109</v>
      </c>
      <c r="D89" s="4" t="s">
        <v>15</v>
      </c>
      <c r="E89" s="4" t="s">
        <v>16</v>
      </c>
      <c r="F89" s="4">
        <v>28</v>
      </c>
      <c r="G89" s="5">
        <v>44820</v>
      </c>
      <c r="H89" s="6">
        <v>43510</v>
      </c>
      <c r="I89" s="4" t="s">
        <v>57</v>
      </c>
      <c r="J89" s="4" t="s">
        <v>18</v>
      </c>
    </row>
    <row r="90" spans="3:10">
      <c r="C90" s="4" t="s">
        <v>110</v>
      </c>
      <c r="D90" s="4" t="s">
        <v>15</v>
      </c>
      <c r="E90" s="4" t="s">
        <v>25</v>
      </c>
      <c r="F90" s="4">
        <v>33</v>
      </c>
      <c r="G90" s="5">
        <v>44243</v>
      </c>
      <c r="H90" s="6">
        <v>59430</v>
      </c>
      <c r="I90" s="4" t="s">
        <v>21</v>
      </c>
      <c r="J90" s="4" t="s">
        <v>18</v>
      </c>
    </row>
    <row r="91" spans="3:10">
      <c r="C91" s="4" t="s">
        <v>111</v>
      </c>
      <c r="D91" s="4" t="s">
        <v>23</v>
      </c>
      <c r="E91" s="4" t="s">
        <v>25</v>
      </c>
      <c r="F91" s="4">
        <v>33</v>
      </c>
      <c r="G91" s="5">
        <v>44067</v>
      </c>
      <c r="H91" s="6">
        <v>65360</v>
      </c>
      <c r="I91" s="4" t="s">
        <v>21</v>
      </c>
      <c r="J91" s="4" t="s">
        <v>18</v>
      </c>
    </row>
    <row r="92" spans="3:10">
      <c r="C92" s="4" t="s">
        <v>112</v>
      </c>
      <c r="D92" s="4" t="s">
        <v>23</v>
      </c>
      <c r="E92" s="4" t="s">
        <v>20</v>
      </c>
      <c r="F92" s="4">
        <v>32</v>
      </c>
      <c r="G92" s="5">
        <v>44611</v>
      </c>
      <c r="H92" s="6">
        <v>41570</v>
      </c>
      <c r="I92" s="4" t="s">
        <v>21</v>
      </c>
      <c r="J92" s="4" t="s">
        <v>18</v>
      </c>
    </row>
    <row r="93" spans="3:10">
      <c r="C93" s="4" t="s">
        <v>113</v>
      </c>
      <c r="D93" s="4" t="s">
        <v>23</v>
      </c>
      <c r="E93" s="4" t="s">
        <v>31</v>
      </c>
      <c r="F93" s="4">
        <v>33</v>
      </c>
      <c r="G93" s="5">
        <v>44312</v>
      </c>
      <c r="H93" s="6">
        <v>75280</v>
      </c>
      <c r="I93" s="4" t="s">
        <v>21</v>
      </c>
      <c r="J93" s="4" t="s">
        <v>18</v>
      </c>
    </row>
    <row r="94" spans="3:10">
      <c r="C94" s="4" t="s">
        <v>114</v>
      </c>
      <c r="D94" s="4" t="s">
        <v>15</v>
      </c>
      <c r="E94" s="4" t="s">
        <v>16</v>
      </c>
      <c r="F94" s="4">
        <v>33</v>
      </c>
      <c r="G94" s="5">
        <v>44385</v>
      </c>
      <c r="H94" s="6">
        <v>74550</v>
      </c>
      <c r="I94" s="4" t="s">
        <v>21</v>
      </c>
      <c r="J94" s="4" t="s">
        <v>18</v>
      </c>
    </row>
    <row r="95" spans="3:10">
      <c r="C95" s="4" t="s">
        <v>115</v>
      </c>
      <c r="D95" s="4" t="s">
        <v>15</v>
      </c>
      <c r="E95" s="4" t="s">
        <v>20</v>
      </c>
      <c r="F95" s="4">
        <v>30</v>
      </c>
      <c r="G95" s="5">
        <v>44701</v>
      </c>
      <c r="H95" s="6">
        <v>67950</v>
      </c>
      <c r="I95" s="4" t="s">
        <v>21</v>
      </c>
      <c r="J95" s="4" t="s">
        <v>18</v>
      </c>
    </row>
    <row r="96" spans="3:10">
      <c r="C96" s="4" t="s">
        <v>116</v>
      </c>
      <c r="D96" s="4" t="s">
        <v>15</v>
      </c>
      <c r="E96" s="4" t="s">
        <v>25</v>
      </c>
      <c r="F96" s="4">
        <v>42</v>
      </c>
      <c r="G96" s="5">
        <v>44731</v>
      </c>
      <c r="H96" s="6">
        <v>70270</v>
      </c>
      <c r="I96" s="4" t="s">
        <v>26</v>
      </c>
      <c r="J96" s="4" t="s">
        <v>18</v>
      </c>
    </row>
    <row r="97" spans="3:10">
      <c r="C97" s="4" t="s">
        <v>117</v>
      </c>
      <c r="D97" s="4" t="s">
        <v>15</v>
      </c>
      <c r="E97" s="4" t="s">
        <v>20</v>
      </c>
      <c r="F97" s="4">
        <v>26</v>
      </c>
      <c r="G97" s="5">
        <v>44411</v>
      </c>
      <c r="H97" s="6">
        <v>53540</v>
      </c>
      <c r="I97" s="4" t="s">
        <v>21</v>
      </c>
      <c r="J97" s="4" t="s">
        <v>18</v>
      </c>
    </row>
    <row r="98" spans="3:10">
      <c r="C98" s="4" t="s">
        <v>14</v>
      </c>
      <c r="D98" s="4" t="s">
        <v>15</v>
      </c>
      <c r="E98" s="4" t="s">
        <v>16</v>
      </c>
      <c r="F98" s="4">
        <v>22</v>
      </c>
      <c r="G98" s="5">
        <v>44446</v>
      </c>
      <c r="H98" s="6">
        <v>112780</v>
      </c>
      <c r="I98" s="4" t="s">
        <v>17</v>
      </c>
      <c r="J98" s="4" t="s">
        <v>18</v>
      </c>
    </row>
    <row r="99" spans="3:10">
      <c r="C99" s="4" t="s">
        <v>19</v>
      </c>
      <c r="D99" s="4" t="s">
        <v>15</v>
      </c>
      <c r="E99" s="4" t="s">
        <v>20</v>
      </c>
      <c r="F99" s="4">
        <v>46</v>
      </c>
      <c r="G99" s="5">
        <v>44758</v>
      </c>
      <c r="H99" s="6">
        <v>70610</v>
      </c>
      <c r="I99" s="4" t="s">
        <v>21</v>
      </c>
      <c r="J99" s="4" t="s">
        <v>18</v>
      </c>
    </row>
    <row r="100" spans="3:10">
      <c r="C100" s="4" t="s">
        <v>22</v>
      </c>
      <c r="D100" s="4" t="s">
        <v>23</v>
      </c>
      <c r="E100" s="4" t="s">
        <v>16</v>
      </c>
      <c r="F100" s="4">
        <v>28</v>
      </c>
      <c r="G100" s="5">
        <v>44357</v>
      </c>
      <c r="H100" s="6">
        <v>53240</v>
      </c>
      <c r="I100" s="4" t="s">
        <v>21</v>
      </c>
      <c r="J100" s="4" t="s">
        <v>18</v>
      </c>
    </row>
    <row r="101" spans="3:10">
      <c r="C101" s="4" t="s">
        <v>24</v>
      </c>
      <c r="D101" s="4"/>
      <c r="E101" s="4" t="s">
        <v>25</v>
      </c>
      <c r="F101" s="4">
        <v>37</v>
      </c>
      <c r="G101" s="5">
        <v>44146</v>
      </c>
      <c r="H101" s="6">
        <v>115440</v>
      </c>
      <c r="I101" s="4" t="s">
        <v>26</v>
      </c>
      <c r="J101" s="4" t="s">
        <v>18</v>
      </c>
    </row>
    <row r="102" spans="3:10">
      <c r="C102" s="4" t="s">
        <v>27</v>
      </c>
      <c r="D102" s="4" t="s">
        <v>15</v>
      </c>
      <c r="E102" s="4" t="s">
        <v>16</v>
      </c>
      <c r="F102" s="4">
        <v>32</v>
      </c>
      <c r="G102" s="5">
        <v>44465</v>
      </c>
      <c r="H102" s="6">
        <v>53540</v>
      </c>
      <c r="I102" s="4" t="s">
        <v>21</v>
      </c>
      <c r="J102" s="4" t="s">
        <v>18</v>
      </c>
    </row>
    <row r="103" spans="3:10">
      <c r="C103" s="4" t="s">
        <v>28</v>
      </c>
      <c r="D103" s="4" t="s">
        <v>23</v>
      </c>
      <c r="E103" s="4" t="s">
        <v>20</v>
      </c>
      <c r="F103" s="4">
        <v>30</v>
      </c>
      <c r="G103" s="5">
        <v>44861</v>
      </c>
      <c r="H103" s="6">
        <v>112570</v>
      </c>
      <c r="I103" s="4" t="s">
        <v>21</v>
      </c>
      <c r="J103" s="4" t="s">
        <v>18</v>
      </c>
    </row>
    <row r="104" spans="3:10">
      <c r="C104" s="4" t="s">
        <v>29</v>
      </c>
      <c r="D104" s="4" t="s">
        <v>15</v>
      </c>
      <c r="E104" s="4" t="s">
        <v>20</v>
      </c>
      <c r="F104" s="4">
        <v>33</v>
      </c>
      <c r="G104" s="5">
        <v>44701</v>
      </c>
      <c r="H104" s="6">
        <v>48530</v>
      </c>
      <c r="I104" s="4" t="s">
        <v>17</v>
      </c>
      <c r="J104" s="4" t="s">
        <v>18</v>
      </c>
    </row>
    <row r="105" spans="3:10">
      <c r="C105" s="4" t="s">
        <v>30</v>
      </c>
      <c r="D105" s="4" t="s">
        <v>23</v>
      </c>
      <c r="E105" s="4" t="s">
        <v>31</v>
      </c>
      <c r="F105" s="4">
        <v>24</v>
      </c>
      <c r="G105" s="5">
        <v>44148</v>
      </c>
      <c r="H105" s="6">
        <v>62780</v>
      </c>
      <c r="I105" s="4" t="s">
        <v>21</v>
      </c>
      <c r="J105" s="4" t="s">
        <v>18</v>
      </c>
    </row>
    <row r="106" spans="3:10">
      <c r="F106" s="56"/>
      <c r="H106" s="15"/>
    </row>
  </sheetData>
  <autoFilter ref="C5:I105" xr:uid="{00000000-0009-0000-0000-000001000000}"/>
  <conditionalFormatting sqref="C5:C105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5EAF-751B-4765-A521-A544A67CFD6C}">
  <dimension ref="A1"/>
  <sheetViews>
    <sheetView workbookViewId="0">
      <selection activeCell="I10" sqref="I10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14"/>
  <sheetViews>
    <sheetView topLeftCell="B1" workbookViewId="0">
      <selection activeCell="O4" sqref="O4"/>
    </sheetView>
  </sheetViews>
  <sheetFormatPr defaultColWidth="9" defaultRowHeight="14.4"/>
  <cols>
    <col min="2" max="2" width="29.6640625" customWidth="1"/>
    <col min="3" max="3" width="7.44140625" customWidth="1"/>
    <col min="4" max="4" width="12.44140625" customWidth="1"/>
    <col min="5" max="5" width="4.6640625" customWidth="1"/>
    <col min="6" max="6" width="11.44140625" customWidth="1"/>
    <col min="7" max="7" width="7.6640625" customWidth="1"/>
  </cols>
  <sheetData>
    <row r="2" spans="2:18"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K2" s="3" t="s">
        <v>6</v>
      </c>
      <c r="L2" s="3" t="s">
        <v>7</v>
      </c>
      <c r="M2" s="3" t="s">
        <v>8</v>
      </c>
      <c r="N2" s="3" t="s">
        <v>9</v>
      </c>
      <c r="O2" s="52" t="s">
        <v>10</v>
      </c>
      <c r="P2" s="3" t="s">
        <v>11</v>
      </c>
      <c r="Q2" s="3" t="s">
        <v>12</v>
      </c>
      <c r="R2" s="4" t="s">
        <v>13</v>
      </c>
    </row>
    <row r="3" spans="2:18">
      <c r="B3" s="4" t="s">
        <v>118</v>
      </c>
      <c r="C3" s="4" t="s">
        <v>15</v>
      </c>
      <c r="D3" s="4" t="s">
        <v>31</v>
      </c>
      <c r="E3" s="4">
        <v>20</v>
      </c>
      <c r="F3" s="51">
        <v>44122</v>
      </c>
      <c r="G3" s="4">
        <v>112650</v>
      </c>
      <c r="H3" s="4" t="s">
        <v>21</v>
      </c>
      <c r="I3" s="4" t="s">
        <v>119</v>
      </c>
    </row>
    <row r="4" spans="2:18">
      <c r="B4" s="4" t="s">
        <v>120</v>
      </c>
      <c r="C4" s="4" t="s">
        <v>23</v>
      </c>
      <c r="D4" s="4" t="s">
        <v>31</v>
      </c>
      <c r="E4" s="4">
        <v>32</v>
      </c>
      <c r="F4" s="51">
        <v>44293</v>
      </c>
      <c r="G4" s="4">
        <v>43840</v>
      </c>
      <c r="H4" s="4" t="s">
        <v>17</v>
      </c>
      <c r="I4" s="4" t="s">
        <v>119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10</v>
      </c>
      <c r="P4" s="3" t="s">
        <v>11</v>
      </c>
      <c r="Q4" s="3" t="s">
        <v>12</v>
      </c>
      <c r="R4" t="s">
        <v>13</v>
      </c>
    </row>
    <row r="5" spans="2:18">
      <c r="B5" s="4" t="s">
        <v>121</v>
      </c>
      <c r="C5" s="4" t="s">
        <v>15</v>
      </c>
      <c r="D5" s="4" t="s">
        <v>20</v>
      </c>
      <c r="E5" s="4">
        <v>31</v>
      </c>
      <c r="F5" s="51">
        <v>44663</v>
      </c>
      <c r="G5" s="4">
        <v>103550</v>
      </c>
      <c r="H5" s="4" t="s">
        <v>21</v>
      </c>
      <c r="I5" s="4" t="s">
        <v>119</v>
      </c>
    </row>
    <row r="6" spans="2:18">
      <c r="B6" s="4" t="s">
        <v>122</v>
      </c>
      <c r="C6" s="4" t="s">
        <v>23</v>
      </c>
      <c r="D6" s="4" t="s">
        <v>34</v>
      </c>
      <c r="E6" s="4">
        <v>32</v>
      </c>
      <c r="F6" s="51">
        <v>44339</v>
      </c>
      <c r="G6" s="4">
        <v>45510</v>
      </c>
      <c r="H6" s="4" t="s">
        <v>21</v>
      </c>
      <c r="I6" s="4" t="s">
        <v>119</v>
      </c>
    </row>
    <row r="7" spans="2:18">
      <c r="B7" s="4" t="s">
        <v>123</v>
      </c>
      <c r="C7" s="4"/>
      <c r="D7" s="4" t="s">
        <v>25</v>
      </c>
      <c r="E7" s="4">
        <v>37</v>
      </c>
      <c r="F7" s="51">
        <v>44085</v>
      </c>
      <c r="G7" s="4">
        <v>115440</v>
      </c>
      <c r="H7" s="4" t="s">
        <v>26</v>
      </c>
      <c r="I7" s="4" t="s">
        <v>119</v>
      </c>
    </row>
    <row r="8" spans="2:18">
      <c r="B8" s="4" t="s">
        <v>124</v>
      </c>
      <c r="C8" s="4" t="s">
        <v>23</v>
      </c>
      <c r="D8" s="4" t="s">
        <v>16</v>
      </c>
      <c r="E8" s="4">
        <v>38</v>
      </c>
      <c r="F8" s="51">
        <v>44268</v>
      </c>
      <c r="G8" s="4">
        <v>56870</v>
      </c>
      <c r="H8" s="4" t="s">
        <v>17</v>
      </c>
      <c r="I8" s="4" t="s">
        <v>119</v>
      </c>
    </row>
    <row r="9" spans="2:18">
      <c r="B9" s="4" t="s">
        <v>125</v>
      </c>
      <c r="C9" s="4" t="s">
        <v>23</v>
      </c>
      <c r="D9" s="4" t="s">
        <v>16</v>
      </c>
      <c r="E9" s="4">
        <v>25</v>
      </c>
      <c r="F9" s="51">
        <v>44144</v>
      </c>
      <c r="G9" s="4">
        <v>92700</v>
      </c>
      <c r="H9" s="4" t="s">
        <v>21</v>
      </c>
      <c r="I9" s="4" t="s">
        <v>119</v>
      </c>
    </row>
    <row r="10" spans="2:18">
      <c r="B10" s="4" t="s">
        <v>126</v>
      </c>
      <c r="C10" s="4"/>
      <c r="D10" s="4" t="s">
        <v>31</v>
      </c>
      <c r="E10" s="4">
        <v>32</v>
      </c>
      <c r="F10" s="51">
        <v>44713</v>
      </c>
      <c r="G10" s="4">
        <v>91310</v>
      </c>
      <c r="H10" s="4" t="s">
        <v>21</v>
      </c>
      <c r="I10" s="4" t="s">
        <v>119</v>
      </c>
    </row>
    <row r="11" spans="2:18">
      <c r="B11" s="4" t="s">
        <v>127</v>
      </c>
      <c r="C11" s="4" t="s">
        <v>15</v>
      </c>
      <c r="D11" s="4" t="s">
        <v>16</v>
      </c>
      <c r="E11" s="4">
        <v>33</v>
      </c>
      <c r="F11" s="51">
        <v>44324</v>
      </c>
      <c r="G11" s="4">
        <v>74550</v>
      </c>
      <c r="H11" s="4" t="s">
        <v>21</v>
      </c>
      <c r="I11" s="4" t="s">
        <v>119</v>
      </c>
    </row>
    <row r="12" spans="2:18">
      <c r="B12" s="4" t="s">
        <v>128</v>
      </c>
      <c r="C12" s="4" t="s">
        <v>15</v>
      </c>
      <c r="D12" s="4" t="s">
        <v>20</v>
      </c>
      <c r="E12" s="4">
        <v>25</v>
      </c>
      <c r="F12" s="51">
        <v>44665</v>
      </c>
      <c r="G12" s="4">
        <v>109190</v>
      </c>
      <c r="H12" s="4" t="s">
        <v>17</v>
      </c>
      <c r="I12" s="4" t="s">
        <v>119</v>
      </c>
    </row>
    <row r="13" spans="2:18">
      <c r="B13" s="4" t="s">
        <v>129</v>
      </c>
      <c r="C13" s="4" t="s">
        <v>23</v>
      </c>
      <c r="D13" s="4" t="s">
        <v>31</v>
      </c>
      <c r="E13" s="4">
        <v>40</v>
      </c>
      <c r="F13" s="51">
        <v>44320</v>
      </c>
      <c r="G13" s="4">
        <v>104410</v>
      </c>
      <c r="H13" s="4" t="s">
        <v>21</v>
      </c>
      <c r="I13" s="4" t="s">
        <v>119</v>
      </c>
    </row>
    <row r="14" spans="2:18">
      <c r="B14" s="4" t="s">
        <v>130</v>
      </c>
      <c r="C14" s="4" t="s">
        <v>15</v>
      </c>
      <c r="D14" s="4" t="s">
        <v>25</v>
      </c>
      <c r="E14" s="4">
        <v>30</v>
      </c>
      <c r="F14" s="51">
        <v>44544</v>
      </c>
      <c r="G14" s="4">
        <v>96800</v>
      </c>
      <c r="H14" s="4" t="s">
        <v>21</v>
      </c>
      <c r="I14" s="4" t="s">
        <v>119</v>
      </c>
    </row>
    <row r="15" spans="2:18">
      <c r="B15" s="4" t="s">
        <v>131</v>
      </c>
      <c r="C15" s="4" t="s">
        <v>15</v>
      </c>
      <c r="D15" s="4" t="s">
        <v>25</v>
      </c>
      <c r="E15" s="4">
        <v>28</v>
      </c>
      <c r="F15" s="51">
        <v>43980</v>
      </c>
      <c r="G15" s="4">
        <v>48170</v>
      </c>
      <c r="H15" s="4" t="s">
        <v>17</v>
      </c>
      <c r="I15" s="4" t="s">
        <v>119</v>
      </c>
    </row>
    <row r="16" spans="2:18">
      <c r="B16" s="4" t="s">
        <v>132</v>
      </c>
      <c r="C16" s="4" t="s">
        <v>15</v>
      </c>
      <c r="D16" s="4" t="s">
        <v>20</v>
      </c>
      <c r="E16" s="4">
        <v>21</v>
      </c>
      <c r="F16" s="51">
        <v>44042</v>
      </c>
      <c r="G16" s="4">
        <v>37920</v>
      </c>
      <c r="H16" s="4" t="s">
        <v>21</v>
      </c>
      <c r="I16" s="4" t="s">
        <v>119</v>
      </c>
    </row>
    <row r="17" spans="2:9">
      <c r="B17" s="4" t="s">
        <v>133</v>
      </c>
      <c r="C17" s="4" t="s">
        <v>15</v>
      </c>
      <c r="D17" s="4" t="s">
        <v>20</v>
      </c>
      <c r="E17" s="4">
        <v>34</v>
      </c>
      <c r="F17" s="51">
        <v>44642</v>
      </c>
      <c r="G17" s="4">
        <v>112650</v>
      </c>
      <c r="H17" s="4" t="s">
        <v>21</v>
      </c>
      <c r="I17" s="4" t="s">
        <v>119</v>
      </c>
    </row>
    <row r="18" spans="2:9">
      <c r="B18" s="4" t="s">
        <v>134</v>
      </c>
      <c r="C18" s="4" t="s">
        <v>23</v>
      </c>
      <c r="D18" s="4" t="s">
        <v>16</v>
      </c>
      <c r="E18" s="4">
        <v>34</v>
      </c>
      <c r="F18" s="51">
        <v>44660</v>
      </c>
      <c r="G18" s="4">
        <v>49630</v>
      </c>
      <c r="H18" s="4" t="s">
        <v>26</v>
      </c>
      <c r="I18" s="4" t="s">
        <v>119</v>
      </c>
    </row>
    <row r="19" spans="2:9">
      <c r="B19" s="4" t="s">
        <v>135</v>
      </c>
      <c r="C19" s="4" t="s">
        <v>15</v>
      </c>
      <c r="D19" s="4" t="s">
        <v>31</v>
      </c>
      <c r="E19" s="4">
        <v>36</v>
      </c>
      <c r="F19" s="51">
        <v>43958</v>
      </c>
      <c r="G19" s="4">
        <v>118840</v>
      </c>
      <c r="H19" s="4" t="s">
        <v>21</v>
      </c>
      <c r="I19" s="4" t="s">
        <v>119</v>
      </c>
    </row>
    <row r="20" spans="2:9">
      <c r="B20" s="4" t="s">
        <v>136</v>
      </c>
      <c r="C20" s="4" t="s">
        <v>15</v>
      </c>
      <c r="D20" s="4" t="s">
        <v>31</v>
      </c>
      <c r="E20" s="4">
        <v>30</v>
      </c>
      <c r="F20" s="51">
        <v>44789</v>
      </c>
      <c r="G20" s="4">
        <v>69710</v>
      </c>
      <c r="H20" s="4" t="s">
        <v>21</v>
      </c>
      <c r="I20" s="4" t="s">
        <v>119</v>
      </c>
    </row>
    <row r="21" spans="2:9">
      <c r="B21" s="4" t="s">
        <v>137</v>
      </c>
      <c r="C21" s="4" t="s">
        <v>15</v>
      </c>
      <c r="D21" s="4" t="s">
        <v>20</v>
      </c>
      <c r="E21" s="4">
        <v>20</v>
      </c>
      <c r="F21" s="51">
        <v>44683</v>
      </c>
      <c r="G21" s="4">
        <v>79570</v>
      </c>
      <c r="H21" s="4" t="s">
        <v>21</v>
      </c>
      <c r="I21" s="4" t="s">
        <v>119</v>
      </c>
    </row>
    <row r="22" spans="2:9">
      <c r="B22" s="4" t="s">
        <v>138</v>
      </c>
      <c r="C22" s="4" t="s">
        <v>23</v>
      </c>
      <c r="D22" s="4" t="s">
        <v>20</v>
      </c>
      <c r="E22" s="4">
        <v>22</v>
      </c>
      <c r="F22" s="51">
        <v>44388</v>
      </c>
      <c r="G22" s="4">
        <v>76900</v>
      </c>
      <c r="H22" s="4" t="s">
        <v>17</v>
      </c>
      <c r="I22" s="4" t="s">
        <v>119</v>
      </c>
    </row>
    <row r="23" spans="2:9">
      <c r="B23" s="4" t="s">
        <v>139</v>
      </c>
      <c r="C23" s="4" t="s">
        <v>15</v>
      </c>
      <c r="D23" s="4" t="s">
        <v>16</v>
      </c>
      <c r="E23" s="4">
        <v>27</v>
      </c>
      <c r="F23" s="51">
        <v>44073</v>
      </c>
      <c r="G23" s="4">
        <v>54970</v>
      </c>
      <c r="H23" s="4" t="s">
        <v>21</v>
      </c>
      <c r="I23" s="4" t="s">
        <v>119</v>
      </c>
    </row>
    <row r="24" spans="2:9">
      <c r="B24" s="4" t="s">
        <v>140</v>
      </c>
      <c r="C24" s="4" t="s">
        <v>15</v>
      </c>
      <c r="D24" s="4" t="s">
        <v>31</v>
      </c>
      <c r="E24" s="4">
        <v>37</v>
      </c>
      <c r="F24" s="51">
        <v>44277</v>
      </c>
      <c r="G24" s="4">
        <v>88050</v>
      </c>
      <c r="H24" s="4" t="s">
        <v>26</v>
      </c>
      <c r="I24" s="4" t="s">
        <v>119</v>
      </c>
    </row>
    <row r="25" spans="2:9">
      <c r="B25" s="4" t="s">
        <v>141</v>
      </c>
      <c r="C25" s="4" t="s">
        <v>15</v>
      </c>
      <c r="D25" s="4" t="s">
        <v>16</v>
      </c>
      <c r="E25" s="4">
        <v>43</v>
      </c>
      <c r="F25" s="51">
        <v>44558</v>
      </c>
      <c r="G25" s="4">
        <v>36040</v>
      </c>
      <c r="H25" s="4" t="s">
        <v>21</v>
      </c>
      <c r="I25" s="4" t="s">
        <v>119</v>
      </c>
    </row>
    <row r="26" spans="2:9">
      <c r="B26" s="4" t="s">
        <v>142</v>
      </c>
      <c r="C26" s="4" t="s">
        <v>23</v>
      </c>
      <c r="D26" s="4" t="s">
        <v>20</v>
      </c>
      <c r="E26" s="4">
        <v>42</v>
      </c>
      <c r="F26" s="51">
        <v>44718</v>
      </c>
      <c r="G26" s="4">
        <v>75000</v>
      </c>
      <c r="H26" s="4" t="s">
        <v>51</v>
      </c>
      <c r="I26" s="4" t="s">
        <v>119</v>
      </c>
    </row>
    <row r="27" spans="2:9">
      <c r="B27" s="4" t="s">
        <v>143</v>
      </c>
      <c r="C27" s="4" t="s">
        <v>15</v>
      </c>
      <c r="D27" s="4" t="s">
        <v>20</v>
      </c>
      <c r="E27" s="4">
        <v>35</v>
      </c>
      <c r="F27" s="51">
        <v>44666</v>
      </c>
      <c r="G27" s="4">
        <v>40400</v>
      </c>
      <c r="H27" s="4" t="s">
        <v>21</v>
      </c>
      <c r="I27" s="4" t="s">
        <v>119</v>
      </c>
    </row>
    <row r="28" spans="2:9">
      <c r="B28" s="4" t="s">
        <v>144</v>
      </c>
      <c r="C28" s="4" t="s">
        <v>15</v>
      </c>
      <c r="D28" s="4" t="s">
        <v>31</v>
      </c>
      <c r="E28" s="4">
        <v>24</v>
      </c>
      <c r="F28" s="51">
        <v>44625</v>
      </c>
      <c r="G28" s="4">
        <v>100420</v>
      </c>
      <c r="H28" s="4" t="s">
        <v>21</v>
      </c>
      <c r="I28" s="4" t="s">
        <v>119</v>
      </c>
    </row>
    <row r="29" spans="2:9">
      <c r="B29" s="4" t="s">
        <v>145</v>
      </c>
      <c r="C29" s="4" t="s">
        <v>23</v>
      </c>
      <c r="D29" s="4" t="s">
        <v>31</v>
      </c>
      <c r="E29" s="4">
        <v>31</v>
      </c>
      <c r="F29" s="51">
        <v>44604</v>
      </c>
      <c r="G29" s="4">
        <v>58100</v>
      </c>
      <c r="H29" s="4" t="s">
        <v>21</v>
      </c>
      <c r="I29" s="4" t="s">
        <v>119</v>
      </c>
    </row>
    <row r="30" spans="2:9">
      <c r="B30" s="4" t="s">
        <v>146</v>
      </c>
      <c r="C30" s="4" t="s">
        <v>23</v>
      </c>
      <c r="D30" s="4" t="s">
        <v>31</v>
      </c>
      <c r="E30" s="4">
        <v>44</v>
      </c>
      <c r="F30" s="51">
        <v>44985</v>
      </c>
      <c r="G30" s="4">
        <v>114870</v>
      </c>
      <c r="H30" s="4" t="s">
        <v>21</v>
      </c>
      <c r="I30" s="4" t="s">
        <v>119</v>
      </c>
    </row>
    <row r="31" spans="2:9">
      <c r="B31" s="4" t="s">
        <v>147</v>
      </c>
      <c r="C31" s="4" t="s">
        <v>23</v>
      </c>
      <c r="D31" s="4" t="s">
        <v>20</v>
      </c>
      <c r="E31" s="4">
        <v>32</v>
      </c>
      <c r="F31" s="51">
        <v>44549</v>
      </c>
      <c r="G31" s="4">
        <v>41570</v>
      </c>
      <c r="H31" s="4" t="s">
        <v>21</v>
      </c>
      <c r="I31" s="4" t="s">
        <v>119</v>
      </c>
    </row>
    <row r="32" spans="2:9">
      <c r="B32" s="4" t="s">
        <v>148</v>
      </c>
      <c r="C32" s="4" t="s">
        <v>23</v>
      </c>
      <c r="D32" s="4" t="s">
        <v>20</v>
      </c>
      <c r="E32" s="4">
        <v>30</v>
      </c>
      <c r="F32" s="51">
        <v>44800</v>
      </c>
      <c r="G32" s="4">
        <v>112570</v>
      </c>
      <c r="H32" s="4" t="s">
        <v>21</v>
      </c>
      <c r="I32" s="4" t="s">
        <v>119</v>
      </c>
    </row>
    <row r="33" spans="2:9">
      <c r="B33" s="4" t="s">
        <v>149</v>
      </c>
      <c r="C33" s="4" t="s">
        <v>15</v>
      </c>
      <c r="D33" s="4" t="s">
        <v>20</v>
      </c>
      <c r="E33" s="4">
        <v>26</v>
      </c>
      <c r="F33" s="51">
        <v>44164</v>
      </c>
      <c r="G33" s="4">
        <v>47360</v>
      </c>
      <c r="H33" s="4" t="s">
        <v>21</v>
      </c>
      <c r="I33" s="4" t="s">
        <v>119</v>
      </c>
    </row>
    <row r="34" spans="2:9">
      <c r="B34" s="4" t="s">
        <v>150</v>
      </c>
      <c r="C34" s="4" t="s">
        <v>23</v>
      </c>
      <c r="D34" s="4" t="s">
        <v>25</v>
      </c>
      <c r="E34" s="4">
        <v>21</v>
      </c>
      <c r="F34" s="51">
        <v>44256</v>
      </c>
      <c r="G34" s="4">
        <v>65920</v>
      </c>
      <c r="H34" s="4" t="s">
        <v>21</v>
      </c>
      <c r="I34" s="4" t="s">
        <v>119</v>
      </c>
    </row>
    <row r="35" spans="2:9">
      <c r="B35" s="4" t="s">
        <v>151</v>
      </c>
      <c r="C35" s="4" t="s">
        <v>23</v>
      </c>
      <c r="D35" s="4" t="s">
        <v>20</v>
      </c>
      <c r="E35" s="4">
        <v>28</v>
      </c>
      <c r="F35" s="51">
        <v>44571</v>
      </c>
      <c r="G35" s="4">
        <v>99970</v>
      </c>
      <c r="H35" s="4" t="s">
        <v>21</v>
      </c>
      <c r="I35" s="4" t="s">
        <v>119</v>
      </c>
    </row>
    <row r="36" spans="2:9">
      <c r="B36" s="4" t="s">
        <v>152</v>
      </c>
      <c r="C36" s="4" t="s">
        <v>23</v>
      </c>
      <c r="D36" s="4" t="s">
        <v>31</v>
      </c>
      <c r="E36" s="4">
        <v>25</v>
      </c>
      <c r="F36" s="51">
        <v>44633</v>
      </c>
      <c r="G36" s="4">
        <v>80700</v>
      </c>
      <c r="H36" s="4" t="s">
        <v>17</v>
      </c>
      <c r="I36" s="4" t="s">
        <v>119</v>
      </c>
    </row>
    <row r="37" spans="2:9">
      <c r="B37" s="4" t="s">
        <v>153</v>
      </c>
      <c r="C37" s="4" t="s">
        <v>15</v>
      </c>
      <c r="D37" s="4" t="s">
        <v>25</v>
      </c>
      <c r="E37" s="4">
        <v>24</v>
      </c>
      <c r="F37" s="51">
        <v>44375</v>
      </c>
      <c r="G37" s="4">
        <v>52610</v>
      </c>
      <c r="H37" s="4" t="s">
        <v>26</v>
      </c>
      <c r="I37" s="4" t="s">
        <v>119</v>
      </c>
    </row>
    <row r="38" spans="2:9">
      <c r="B38" s="4" t="s">
        <v>154</v>
      </c>
      <c r="C38" s="4" t="s">
        <v>15</v>
      </c>
      <c r="D38" s="4" t="s">
        <v>31</v>
      </c>
      <c r="E38" s="4">
        <v>29</v>
      </c>
      <c r="F38" s="51">
        <v>44119</v>
      </c>
      <c r="G38" s="4">
        <v>112110</v>
      </c>
      <c r="H38" s="4" t="s">
        <v>26</v>
      </c>
      <c r="I38" s="4" t="s">
        <v>119</v>
      </c>
    </row>
    <row r="39" spans="2:9">
      <c r="B39" s="4" t="s">
        <v>155</v>
      </c>
      <c r="C39" s="4" t="s">
        <v>23</v>
      </c>
      <c r="D39" s="4" t="s">
        <v>34</v>
      </c>
      <c r="E39" s="4">
        <v>27</v>
      </c>
      <c r="F39" s="51">
        <v>44061</v>
      </c>
      <c r="G39" s="4">
        <v>119110</v>
      </c>
      <c r="H39" s="4" t="s">
        <v>21</v>
      </c>
      <c r="I39" s="4" t="s">
        <v>119</v>
      </c>
    </row>
    <row r="40" spans="2:9">
      <c r="B40" s="4" t="s">
        <v>156</v>
      </c>
      <c r="C40" s="4" t="s">
        <v>15</v>
      </c>
      <c r="D40" s="4" t="s">
        <v>16</v>
      </c>
      <c r="E40" s="4">
        <v>22</v>
      </c>
      <c r="F40" s="51">
        <v>44384</v>
      </c>
      <c r="G40" s="4">
        <v>112780</v>
      </c>
      <c r="H40" s="4" t="s">
        <v>17</v>
      </c>
      <c r="I40" s="4" t="s">
        <v>119</v>
      </c>
    </row>
    <row r="41" spans="2:9">
      <c r="B41" s="4" t="s">
        <v>157</v>
      </c>
      <c r="C41" s="4" t="s">
        <v>23</v>
      </c>
      <c r="D41" s="4" t="s">
        <v>20</v>
      </c>
      <c r="E41" s="4">
        <v>36</v>
      </c>
      <c r="F41" s="51">
        <v>44023</v>
      </c>
      <c r="G41" s="4">
        <v>114890</v>
      </c>
      <c r="H41" s="4" t="s">
        <v>21</v>
      </c>
      <c r="I41" s="4" t="s">
        <v>119</v>
      </c>
    </row>
    <row r="42" spans="2:9">
      <c r="B42" s="4" t="s">
        <v>158</v>
      </c>
      <c r="C42" s="4" t="s">
        <v>15</v>
      </c>
      <c r="D42" s="4" t="s">
        <v>25</v>
      </c>
      <c r="E42" s="4">
        <v>27</v>
      </c>
      <c r="F42" s="51">
        <v>44506</v>
      </c>
      <c r="G42" s="4">
        <v>48980</v>
      </c>
      <c r="H42" s="4" t="s">
        <v>21</v>
      </c>
      <c r="I42" s="4" t="s">
        <v>119</v>
      </c>
    </row>
    <row r="43" spans="2:9">
      <c r="B43" s="4" t="s">
        <v>159</v>
      </c>
      <c r="C43" s="4" t="s">
        <v>15</v>
      </c>
      <c r="D43" s="4" t="s">
        <v>34</v>
      </c>
      <c r="E43" s="4">
        <v>21</v>
      </c>
      <c r="F43" s="51">
        <v>44180</v>
      </c>
      <c r="G43" s="4">
        <v>75880</v>
      </c>
      <c r="H43" s="4" t="s">
        <v>21</v>
      </c>
      <c r="I43" s="4" t="s">
        <v>119</v>
      </c>
    </row>
    <row r="44" spans="2:9">
      <c r="B44" s="4" t="s">
        <v>160</v>
      </c>
      <c r="C44" s="4" t="s">
        <v>23</v>
      </c>
      <c r="D44" s="4" t="s">
        <v>16</v>
      </c>
      <c r="E44" s="4">
        <v>28</v>
      </c>
      <c r="F44" s="51">
        <v>44296</v>
      </c>
      <c r="G44" s="4">
        <v>53240</v>
      </c>
      <c r="H44" s="4" t="s">
        <v>21</v>
      </c>
      <c r="I44" s="4" t="s">
        <v>119</v>
      </c>
    </row>
    <row r="45" spans="2:9">
      <c r="B45" s="4" t="s">
        <v>161</v>
      </c>
      <c r="C45" s="4" t="s">
        <v>23</v>
      </c>
      <c r="D45" s="4" t="s">
        <v>25</v>
      </c>
      <c r="E45" s="4">
        <v>34</v>
      </c>
      <c r="F45" s="51">
        <v>44397</v>
      </c>
      <c r="G45" s="4">
        <v>85000</v>
      </c>
      <c r="H45" s="4" t="s">
        <v>21</v>
      </c>
      <c r="I45" s="4" t="s">
        <v>119</v>
      </c>
    </row>
    <row r="46" spans="2:9">
      <c r="B46" s="4" t="s">
        <v>162</v>
      </c>
      <c r="C46" s="4" t="s">
        <v>23</v>
      </c>
      <c r="D46" s="4" t="s">
        <v>31</v>
      </c>
      <c r="E46" s="4">
        <v>21</v>
      </c>
      <c r="F46" s="51">
        <v>44619</v>
      </c>
      <c r="G46" s="4">
        <v>33920</v>
      </c>
      <c r="H46" s="4" t="s">
        <v>21</v>
      </c>
      <c r="I46" s="4" t="s">
        <v>119</v>
      </c>
    </row>
    <row r="47" spans="2:9">
      <c r="B47" s="4" t="s">
        <v>163</v>
      </c>
      <c r="C47" s="4" t="s">
        <v>23</v>
      </c>
      <c r="D47" s="4" t="s">
        <v>31</v>
      </c>
      <c r="E47" s="4">
        <v>33</v>
      </c>
      <c r="F47" s="51">
        <v>44253</v>
      </c>
      <c r="G47" s="4">
        <v>75280</v>
      </c>
      <c r="H47" s="4" t="s">
        <v>21</v>
      </c>
      <c r="I47" s="4" t="s">
        <v>119</v>
      </c>
    </row>
    <row r="48" spans="2:9">
      <c r="B48" s="4" t="s">
        <v>164</v>
      </c>
      <c r="C48" s="4" t="s">
        <v>23</v>
      </c>
      <c r="D48" s="4" t="s">
        <v>25</v>
      </c>
      <c r="E48" s="4">
        <v>34</v>
      </c>
      <c r="F48" s="51">
        <v>44594</v>
      </c>
      <c r="G48" s="4">
        <v>58940</v>
      </c>
      <c r="H48" s="4" t="s">
        <v>21</v>
      </c>
      <c r="I48" s="4" t="s">
        <v>119</v>
      </c>
    </row>
    <row r="49" spans="2:9">
      <c r="B49" s="4" t="s">
        <v>165</v>
      </c>
      <c r="C49" s="4" t="s">
        <v>23</v>
      </c>
      <c r="D49" s="4" t="s">
        <v>20</v>
      </c>
      <c r="E49" s="4">
        <v>28</v>
      </c>
      <c r="F49" s="51">
        <v>44425</v>
      </c>
      <c r="G49" s="4">
        <v>104770</v>
      </c>
      <c r="H49" s="4" t="s">
        <v>21</v>
      </c>
      <c r="I49" s="4" t="s">
        <v>119</v>
      </c>
    </row>
    <row r="50" spans="2:9">
      <c r="B50" s="4" t="s">
        <v>166</v>
      </c>
      <c r="C50" s="4" t="s">
        <v>15</v>
      </c>
      <c r="D50" s="4" t="s">
        <v>20</v>
      </c>
      <c r="E50" s="4">
        <v>21</v>
      </c>
      <c r="F50" s="51">
        <v>44701</v>
      </c>
      <c r="G50" s="4">
        <v>57090</v>
      </c>
      <c r="H50" s="4" t="s">
        <v>21</v>
      </c>
      <c r="I50" s="4" t="s">
        <v>119</v>
      </c>
    </row>
    <row r="51" spans="2:9">
      <c r="B51" s="4" t="s">
        <v>167</v>
      </c>
      <c r="C51" s="4" t="s">
        <v>15</v>
      </c>
      <c r="D51" s="4" t="s">
        <v>25</v>
      </c>
      <c r="E51" s="4">
        <v>27</v>
      </c>
      <c r="F51" s="51">
        <v>44174</v>
      </c>
      <c r="G51" s="4">
        <v>91650</v>
      </c>
      <c r="H51" s="4" t="s">
        <v>17</v>
      </c>
      <c r="I51" s="4" t="s">
        <v>119</v>
      </c>
    </row>
    <row r="52" spans="2:9">
      <c r="B52" s="4" t="s">
        <v>168</v>
      </c>
      <c r="C52" s="4" t="s">
        <v>15</v>
      </c>
      <c r="D52" s="4" t="s">
        <v>25</v>
      </c>
      <c r="E52" s="4">
        <v>42</v>
      </c>
      <c r="F52" s="51">
        <v>44670</v>
      </c>
      <c r="G52" s="4">
        <v>70270</v>
      </c>
      <c r="H52" s="4" t="s">
        <v>26</v>
      </c>
      <c r="I52" s="4" t="s">
        <v>119</v>
      </c>
    </row>
    <row r="53" spans="2:9">
      <c r="B53" s="4" t="s">
        <v>169</v>
      </c>
      <c r="C53" s="4" t="s">
        <v>23</v>
      </c>
      <c r="D53" s="4" t="s">
        <v>25</v>
      </c>
      <c r="E53" s="4">
        <v>28</v>
      </c>
      <c r="F53" s="51">
        <v>44124</v>
      </c>
      <c r="G53" s="4">
        <v>75970</v>
      </c>
      <c r="H53" s="4" t="s">
        <v>21</v>
      </c>
      <c r="I53" s="4" t="s">
        <v>119</v>
      </c>
    </row>
    <row r="54" spans="2:9">
      <c r="B54" s="4" t="s">
        <v>170</v>
      </c>
      <c r="C54" s="4"/>
      <c r="D54" s="4" t="s">
        <v>31</v>
      </c>
      <c r="E54" s="4">
        <v>27</v>
      </c>
      <c r="F54" s="51">
        <v>44212</v>
      </c>
      <c r="G54" s="4">
        <v>90700</v>
      </c>
      <c r="H54" s="4" t="s">
        <v>17</v>
      </c>
      <c r="I54" s="4" t="s">
        <v>119</v>
      </c>
    </row>
    <row r="55" spans="2:9">
      <c r="B55" s="4" t="s">
        <v>171</v>
      </c>
      <c r="C55" s="4" t="s">
        <v>15</v>
      </c>
      <c r="D55" s="4" t="s">
        <v>20</v>
      </c>
      <c r="E55" s="4">
        <v>30</v>
      </c>
      <c r="F55" s="51">
        <v>44607</v>
      </c>
      <c r="G55" s="4">
        <v>60570</v>
      </c>
      <c r="H55" s="4" t="s">
        <v>21</v>
      </c>
      <c r="I55" s="4" t="s">
        <v>119</v>
      </c>
    </row>
    <row r="56" spans="2:9">
      <c r="B56" s="4" t="s">
        <v>172</v>
      </c>
      <c r="C56" s="4" t="s">
        <v>15</v>
      </c>
      <c r="D56" s="4" t="s">
        <v>20</v>
      </c>
      <c r="E56" s="4">
        <v>33</v>
      </c>
      <c r="F56" s="51">
        <v>44103</v>
      </c>
      <c r="G56" s="4">
        <v>115920</v>
      </c>
      <c r="H56" s="4" t="s">
        <v>21</v>
      </c>
      <c r="I56" s="4" t="s">
        <v>119</v>
      </c>
    </row>
    <row r="57" spans="2:9">
      <c r="B57" s="4" t="s">
        <v>173</v>
      </c>
      <c r="C57" s="4" t="s">
        <v>23</v>
      </c>
      <c r="D57" s="4" t="s">
        <v>25</v>
      </c>
      <c r="E57" s="4">
        <v>33</v>
      </c>
      <c r="F57" s="51">
        <v>44006</v>
      </c>
      <c r="G57" s="4">
        <v>65360</v>
      </c>
      <c r="H57" s="4" t="s">
        <v>21</v>
      </c>
      <c r="I57" s="4" t="s">
        <v>119</v>
      </c>
    </row>
    <row r="58" spans="2:9">
      <c r="B58" s="4" t="s">
        <v>174</v>
      </c>
      <c r="C58" s="4"/>
      <c r="D58" s="4" t="s">
        <v>25</v>
      </c>
      <c r="E58" s="4">
        <v>30</v>
      </c>
      <c r="F58" s="51">
        <v>44535</v>
      </c>
      <c r="G58" s="4">
        <v>64000</v>
      </c>
      <c r="H58" s="4" t="s">
        <v>21</v>
      </c>
      <c r="I58" s="4" t="s">
        <v>119</v>
      </c>
    </row>
    <row r="59" spans="2:9">
      <c r="B59" s="4" t="s">
        <v>175</v>
      </c>
      <c r="C59" s="4" t="s">
        <v>23</v>
      </c>
      <c r="D59" s="4" t="s">
        <v>25</v>
      </c>
      <c r="E59" s="4">
        <v>34</v>
      </c>
      <c r="F59" s="51">
        <v>44383</v>
      </c>
      <c r="G59" s="4">
        <v>92450</v>
      </c>
      <c r="H59" s="4" t="s">
        <v>21</v>
      </c>
      <c r="I59" s="4" t="s">
        <v>119</v>
      </c>
    </row>
    <row r="60" spans="2:9">
      <c r="B60" s="4" t="s">
        <v>176</v>
      </c>
      <c r="C60" s="4" t="s">
        <v>15</v>
      </c>
      <c r="D60" s="4" t="s">
        <v>31</v>
      </c>
      <c r="E60" s="4">
        <v>31</v>
      </c>
      <c r="F60" s="51">
        <v>44450</v>
      </c>
      <c r="G60" s="4">
        <v>48950</v>
      </c>
      <c r="H60" s="4" t="s">
        <v>21</v>
      </c>
      <c r="I60" s="4" t="s">
        <v>119</v>
      </c>
    </row>
    <row r="61" spans="2:9">
      <c r="B61" s="4" t="s">
        <v>177</v>
      </c>
      <c r="C61" s="4" t="s">
        <v>23</v>
      </c>
      <c r="D61" s="4" t="s">
        <v>31</v>
      </c>
      <c r="E61" s="4">
        <v>27</v>
      </c>
      <c r="F61" s="51">
        <v>44625</v>
      </c>
      <c r="G61" s="4">
        <v>83750</v>
      </c>
      <c r="H61" s="4" t="s">
        <v>21</v>
      </c>
      <c r="I61" s="4" t="s">
        <v>119</v>
      </c>
    </row>
    <row r="62" spans="2:9">
      <c r="B62" s="4" t="s">
        <v>178</v>
      </c>
      <c r="C62" s="4" t="s">
        <v>23</v>
      </c>
      <c r="D62" s="4" t="s">
        <v>31</v>
      </c>
      <c r="E62" s="4">
        <v>40</v>
      </c>
      <c r="F62" s="51">
        <v>44276</v>
      </c>
      <c r="G62" s="4">
        <v>87620</v>
      </c>
      <c r="H62" s="4" t="s">
        <v>21</v>
      </c>
      <c r="I62" s="4" t="s">
        <v>119</v>
      </c>
    </row>
    <row r="63" spans="2:9">
      <c r="B63" s="4" t="s">
        <v>179</v>
      </c>
      <c r="C63" s="4" t="s">
        <v>23</v>
      </c>
      <c r="D63" s="4" t="s">
        <v>16</v>
      </c>
      <c r="E63" s="4">
        <v>20</v>
      </c>
      <c r="F63" s="51">
        <v>44476</v>
      </c>
      <c r="G63" s="4">
        <v>68900</v>
      </c>
      <c r="H63" s="4" t="s">
        <v>26</v>
      </c>
      <c r="I63" s="4" t="s">
        <v>119</v>
      </c>
    </row>
    <row r="64" spans="2:9">
      <c r="B64" s="4" t="s">
        <v>180</v>
      </c>
      <c r="C64" s="4" t="s">
        <v>15</v>
      </c>
      <c r="D64" s="4" t="s">
        <v>16</v>
      </c>
      <c r="E64" s="4">
        <v>32</v>
      </c>
      <c r="F64" s="51">
        <v>44403</v>
      </c>
      <c r="G64" s="4">
        <v>53540</v>
      </c>
      <c r="H64" s="4" t="s">
        <v>21</v>
      </c>
      <c r="I64" s="4" t="s">
        <v>119</v>
      </c>
    </row>
    <row r="65" spans="2:9">
      <c r="B65" s="4" t="s">
        <v>181</v>
      </c>
      <c r="C65" s="4" t="s">
        <v>15</v>
      </c>
      <c r="D65" s="4" t="s">
        <v>16</v>
      </c>
      <c r="E65" s="4">
        <v>28</v>
      </c>
      <c r="F65" s="51">
        <v>44758</v>
      </c>
      <c r="G65" s="4">
        <v>43510</v>
      </c>
      <c r="H65" s="4" t="s">
        <v>57</v>
      </c>
      <c r="I65" s="4" t="s">
        <v>119</v>
      </c>
    </row>
    <row r="66" spans="2:9">
      <c r="B66" s="4" t="s">
        <v>182</v>
      </c>
      <c r="C66" s="4" t="s">
        <v>23</v>
      </c>
      <c r="D66" s="4" t="s">
        <v>16</v>
      </c>
      <c r="E66" s="4">
        <v>38</v>
      </c>
      <c r="F66" s="51">
        <v>44316</v>
      </c>
      <c r="G66" s="4">
        <v>109160</v>
      </c>
      <c r="H66" s="4" t="s">
        <v>51</v>
      </c>
      <c r="I66" s="4" t="s">
        <v>119</v>
      </c>
    </row>
    <row r="67" spans="2:9">
      <c r="B67" s="4" t="s">
        <v>183</v>
      </c>
      <c r="C67" s="4" t="s">
        <v>15</v>
      </c>
      <c r="D67" s="4" t="s">
        <v>20</v>
      </c>
      <c r="E67" s="4">
        <v>40</v>
      </c>
      <c r="F67" s="51">
        <v>44204</v>
      </c>
      <c r="G67" s="4">
        <v>99750</v>
      </c>
      <c r="H67" s="4" t="s">
        <v>21</v>
      </c>
      <c r="I67" s="4" t="s">
        <v>119</v>
      </c>
    </row>
    <row r="68" spans="2:9">
      <c r="B68" s="4" t="s">
        <v>184</v>
      </c>
      <c r="C68" s="4" t="s">
        <v>23</v>
      </c>
      <c r="D68" s="4" t="s">
        <v>31</v>
      </c>
      <c r="E68" s="4">
        <v>31</v>
      </c>
      <c r="F68" s="51">
        <v>44084</v>
      </c>
      <c r="G68" s="4">
        <v>41980</v>
      </c>
      <c r="H68" s="4" t="s">
        <v>21</v>
      </c>
      <c r="I68" s="4" t="s">
        <v>119</v>
      </c>
    </row>
    <row r="69" spans="2:9">
      <c r="B69" s="4" t="s">
        <v>185</v>
      </c>
      <c r="C69" s="4" t="s">
        <v>15</v>
      </c>
      <c r="D69" s="4" t="s">
        <v>25</v>
      </c>
      <c r="E69" s="4">
        <v>36</v>
      </c>
      <c r="F69" s="51">
        <v>44272</v>
      </c>
      <c r="G69" s="4">
        <v>71380</v>
      </c>
      <c r="H69" s="4" t="s">
        <v>21</v>
      </c>
      <c r="I69" s="4" t="s">
        <v>119</v>
      </c>
    </row>
    <row r="70" spans="2:9">
      <c r="B70" s="4" t="s">
        <v>186</v>
      </c>
      <c r="C70" s="4" t="s">
        <v>15</v>
      </c>
      <c r="D70" s="4" t="s">
        <v>20</v>
      </c>
      <c r="E70" s="4">
        <v>27</v>
      </c>
      <c r="F70" s="51">
        <v>44547</v>
      </c>
      <c r="G70" s="4">
        <v>113280</v>
      </c>
      <c r="H70" s="4" t="s">
        <v>57</v>
      </c>
      <c r="I70" s="4" t="s">
        <v>119</v>
      </c>
    </row>
    <row r="71" spans="2:9">
      <c r="B71" s="4" t="s">
        <v>187</v>
      </c>
      <c r="C71" s="4" t="s">
        <v>23</v>
      </c>
      <c r="D71" s="4" t="s">
        <v>25</v>
      </c>
      <c r="E71" s="4">
        <v>33</v>
      </c>
      <c r="F71" s="51">
        <v>44747</v>
      </c>
      <c r="G71" s="4">
        <v>86570</v>
      </c>
      <c r="H71" s="4" t="s">
        <v>21</v>
      </c>
      <c r="I71" s="4" t="s">
        <v>119</v>
      </c>
    </row>
    <row r="72" spans="2:9">
      <c r="B72" s="4" t="s">
        <v>188</v>
      </c>
      <c r="C72" s="4" t="s">
        <v>15</v>
      </c>
      <c r="D72" s="4" t="s">
        <v>20</v>
      </c>
      <c r="E72" s="4">
        <v>26</v>
      </c>
      <c r="F72" s="51">
        <v>44350</v>
      </c>
      <c r="G72" s="4">
        <v>53540</v>
      </c>
      <c r="H72" s="4" t="s">
        <v>21</v>
      </c>
      <c r="I72" s="4" t="s">
        <v>119</v>
      </c>
    </row>
    <row r="73" spans="2:9">
      <c r="B73" s="4" t="s">
        <v>189</v>
      </c>
      <c r="C73" s="4" t="s">
        <v>15</v>
      </c>
      <c r="D73" s="4" t="s">
        <v>31</v>
      </c>
      <c r="E73" s="4">
        <v>37</v>
      </c>
      <c r="F73" s="51">
        <v>44640</v>
      </c>
      <c r="G73" s="4">
        <v>69070</v>
      </c>
      <c r="H73" s="4" t="s">
        <v>21</v>
      </c>
      <c r="I73" s="4" t="s">
        <v>119</v>
      </c>
    </row>
    <row r="74" spans="2:9">
      <c r="B74" s="4" t="s">
        <v>190</v>
      </c>
      <c r="C74" s="4" t="s">
        <v>23</v>
      </c>
      <c r="D74" s="4" t="s">
        <v>25</v>
      </c>
      <c r="E74" s="4">
        <v>30</v>
      </c>
      <c r="F74" s="51">
        <v>44328</v>
      </c>
      <c r="G74" s="4">
        <v>67910</v>
      </c>
      <c r="H74" s="4" t="s">
        <v>26</v>
      </c>
      <c r="I74" s="4" t="s">
        <v>119</v>
      </c>
    </row>
    <row r="75" spans="2:9">
      <c r="B75" s="4" t="s">
        <v>191</v>
      </c>
      <c r="C75" s="4" t="s">
        <v>15</v>
      </c>
      <c r="D75" s="4" t="s">
        <v>31</v>
      </c>
      <c r="E75" s="4">
        <v>30</v>
      </c>
      <c r="F75" s="51">
        <v>44214</v>
      </c>
      <c r="G75" s="4">
        <v>69120</v>
      </c>
      <c r="H75" s="4" t="s">
        <v>21</v>
      </c>
      <c r="I75" s="4" t="s">
        <v>119</v>
      </c>
    </row>
    <row r="76" spans="2:9">
      <c r="B76" s="4" t="s">
        <v>192</v>
      </c>
      <c r="C76" s="4" t="s">
        <v>23</v>
      </c>
      <c r="D76" s="4" t="s">
        <v>25</v>
      </c>
      <c r="E76" s="4">
        <v>34</v>
      </c>
      <c r="F76" s="51">
        <v>44550</v>
      </c>
      <c r="G76" s="4">
        <v>60130</v>
      </c>
      <c r="H76" s="4" t="s">
        <v>21</v>
      </c>
      <c r="I76" s="4" t="s">
        <v>119</v>
      </c>
    </row>
    <row r="77" spans="2:9">
      <c r="B77" s="4" t="s">
        <v>193</v>
      </c>
      <c r="C77" s="4" t="s">
        <v>15</v>
      </c>
      <c r="D77" s="4" t="s">
        <v>20</v>
      </c>
      <c r="E77" s="4">
        <v>23</v>
      </c>
      <c r="F77" s="51">
        <v>44378</v>
      </c>
      <c r="G77" s="4">
        <v>106460</v>
      </c>
      <c r="H77" s="4" t="s">
        <v>21</v>
      </c>
      <c r="I77" s="4" t="s">
        <v>119</v>
      </c>
    </row>
    <row r="78" spans="2:9">
      <c r="B78" s="4" t="s">
        <v>194</v>
      </c>
      <c r="C78" s="4" t="s">
        <v>23</v>
      </c>
      <c r="D78" s="4" t="s">
        <v>34</v>
      </c>
      <c r="E78" s="4">
        <v>37</v>
      </c>
      <c r="F78" s="51">
        <v>44389</v>
      </c>
      <c r="G78" s="4">
        <v>118100</v>
      </c>
      <c r="H78" s="4" t="s">
        <v>21</v>
      </c>
      <c r="I78" s="4" t="s">
        <v>119</v>
      </c>
    </row>
    <row r="79" spans="2:9">
      <c r="B79" s="4" t="s">
        <v>195</v>
      </c>
      <c r="C79" s="4" t="s">
        <v>23</v>
      </c>
      <c r="D79" s="4" t="s">
        <v>20</v>
      </c>
      <c r="E79" s="4">
        <v>36</v>
      </c>
      <c r="F79" s="51">
        <v>44468</v>
      </c>
      <c r="G79" s="4">
        <v>78390</v>
      </c>
      <c r="H79" s="4" t="s">
        <v>21</v>
      </c>
      <c r="I79" s="4" t="s">
        <v>119</v>
      </c>
    </row>
    <row r="80" spans="2:9">
      <c r="B80" s="4" t="s">
        <v>196</v>
      </c>
      <c r="C80" s="4" t="s">
        <v>23</v>
      </c>
      <c r="D80" s="4" t="s">
        <v>20</v>
      </c>
      <c r="E80" s="4">
        <v>30</v>
      </c>
      <c r="F80" s="51">
        <v>44789</v>
      </c>
      <c r="G80" s="4">
        <v>114180</v>
      </c>
      <c r="H80" s="4" t="s">
        <v>21</v>
      </c>
      <c r="I80" s="4" t="s">
        <v>119</v>
      </c>
    </row>
    <row r="81" spans="2:9">
      <c r="B81" s="4" t="s">
        <v>197</v>
      </c>
      <c r="C81" s="4" t="s">
        <v>23</v>
      </c>
      <c r="D81" s="4" t="s">
        <v>20</v>
      </c>
      <c r="E81" s="4">
        <v>28</v>
      </c>
      <c r="F81" s="51">
        <v>44590</v>
      </c>
      <c r="G81" s="4">
        <v>104120</v>
      </c>
      <c r="H81" s="4" t="s">
        <v>21</v>
      </c>
      <c r="I81" s="4" t="s">
        <v>119</v>
      </c>
    </row>
    <row r="82" spans="2:9">
      <c r="B82" s="4" t="s">
        <v>198</v>
      </c>
      <c r="C82" s="4" t="s">
        <v>15</v>
      </c>
      <c r="D82" s="4" t="s">
        <v>20</v>
      </c>
      <c r="E82" s="4">
        <v>30</v>
      </c>
      <c r="F82" s="51">
        <v>44640</v>
      </c>
      <c r="G82" s="4">
        <v>67950</v>
      </c>
      <c r="H82" s="4" t="s">
        <v>21</v>
      </c>
      <c r="I82" s="4" t="s">
        <v>119</v>
      </c>
    </row>
    <row r="83" spans="2:9">
      <c r="B83" s="4" t="s">
        <v>199</v>
      </c>
      <c r="C83" s="4" t="s">
        <v>23</v>
      </c>
      <c r="D83" s="4" t="s">
        <v>31</v>
      </c>
      <c r="E83" s="4">
        <v>29</v>
      </c>
      <c r="F83" s="51">
        <v>43962</v>
      </c>
      <c r="G83" s="4">
        <v>34980</v>
      </c>
      <c r="H83" s="4" t="s">
        <v>21</v>
      </c>
      <c r="I83" s="4" t="s">
        <v>119</v>
      </c>
    </row>
    <row r="84" spans="2:9">
      <c r="B84" s="4" t="s">
        <v>200</v>
      </c>
      <c r="C84" s="4" t="s">
        <v>23</v>
      </c>
      <c r="D84" s="4" t="s">
        <v>31</v>
      </c>
      <c r="E84" s="4">
        <v>24</v>
      </c>
      <c r="F84" s="51">
        <v>44087</v>
      </c>
      <c r="G84" s="4">
        <v>62780</v>
      </c>
      <c r="H84" s="4" t="s">
        <v>21</v>
      </c>
      <c r="I84" s="4" t="s">
        <v>119</v>
      </c>
    </row>
    <row r="85" spans="2:9">
      <c r="B85" s="4" t="s">
        <v>201</v>
      </c>
      <c r="C85" s="4" t="s">
        <v>15</v>
      </c>
      <c r="D85" s="4" t="s">
        <v>31</v>
      </c>
      <c r="E85" s="4">
        <v>20</v>
      </c>
      <c r="F85" s="51">
        <v>44397</v>
      </c>
      <c r="G85" s="4">
        <v>107700</v>
      </c>
      <c r="H85" s="4" t="s">
        <v>21</v>
      </c>
      <c r="I85" s="4" t="s">
        <v>119</v>
      </c>
    </row>
    <row r="86" spans="2:9">
      <c r="B86" s="4" t="s">
        <v>202</v>
      </c>
      <c r="C86" s="4" t="s">
        <v>15</v>
      </c>
      <c r="D86" s="4" t="s">
        <v>16</v>
      </c>
      <c r="E86" s="4">
        <v>25</v>
      </c>
      <c r="F86" s="51">
        <v>44322</v>
      </c>
      <c r="G86" s="4">
        <v>65700</v>
      </c>
      <c r="H86" s="4" t="s">
        <v>21</v>
      </c>
      <c r="I86" s="4" t="s">
        <v>119</v>
      </c>
    </row>
    <row r="87" spans="2:9">
      <c r="B87" s="4" t="s">
        <v>203</v>
      </c>
      <c r="C87" s="4" t="s">
        <v>23</v>
      </c>
      <c r="D87" s="4" t="s">
        <v>31</v>
      </c>
      <c r="E87" s="4">
        <v>33</v>
      </c>
      <c r="F87" s="51">
        <v>44313</v>
      </c>
      <c r="G87" s="4">
        <v>75480</v>
      </c>
      <c r="H87" s="4" t="s">
        <v>57</v>
      </c>
      <c r="I87" s="4" t="s">
        <v>119</v>
      </c>
    </row>
    <row r="88" spans="2:9">
      <c r="B88" s="4" t="s">
        <v>204</v>
      </c>
      <c r="C88" s="4" t="s">
        <v>15</v>
      </c>
      <c r="D88" s="4" t="s">
        <v>31</v>
      </c>
      <c r="E88" s="4">
        <v>33</v>
      </c>
      <c r="F88" s="51">
        <v>44448</v>
      </c>
      <c r="G88" s="4">
        <v>53870</v>
      </c>
      <c r="H88" s="4" t="s">
        <v>21</v>
      </c>
      <c r="I88" s="4" t="s">
        <v>119</v>
      </c>
    </row>
    <row r="89" spans="2:9">
      <c r="B89" s="4" t="s">
        <v>205</v>
      </c>
      <c r="C89" s="4" t="s">
        <v>23</v>
      </c>
      <c r="D89" s="4" t="s">
        <v>16</v>
      </c>
      <c r="E89" s="4">
        <v>36</v>
      </c>
      <c r="F89" s="51">
        <v>44433</v>
      </c>
      <c r="G89" s="4">
        <v>78540</v>
      </c>
      <c r="H89" s="4" t="s">
        <v>21</v>
      </c>
      <c r="I89" s="4" t="s">
        <v>119</v>
      </c>
    </row>
    <row r="90" spans="2:9">
      <c r="B90" s="4" t="s">
        <v>206</v>
      </c>
      <c r="C90" s="4" t="s">
        <v>15</v>
      </c>
      <c r="D90" s="4" t="s">
        <v>20</v>
      </c>
      <c r="E90" s="4">
        <v>19</v>
      </c>
      <c r="F90" s="51">
        <v>44218</v>
      </c>
      <c r="G90" s="4">
        <v>58960</v>
      </c>
      <c r="H90" s="4" t="s">
        <v>21</v>
      </c>
      <c r="I90" s="4" t="s">
        <v>119</v>
      </c>
    </row>
    <row r="91" spans="2:9">
      <c r="B91" s="4" t="s">
        <v>207</v>
      </c>
      <c r="C91" s="4" t="s">
        <v>15</v>
      </c>
      <c r="D91" s="4" t="s">
        <v>20</v>
      </c>
      <c r="E91" s="4">
        <v>46</v>
      </c>
      <c r="F91" s="51">
        <v>44697</v>
      </c>
      <c r="G91" s="4">
        <v>70610</v>
      </c>
      <c r="H91" s="4" t="s">
        <v>21</v>
      </c>
      <c r="I91" s="4" t="s">
        <v>119</v>
      </c>
    </row>
    <row r="92" spans="2:9">
      <c r="B92" s="4" t="s">
        <v>208</v>
      </c>
      <c r="C92" s="4" t="s">
        <v>15</v>
      </c>
      <c r="D92" s="4" t="s">
        <v>25</v>
      </c>
      <c r="E92" s="4">
        <v>33</v>
      </c>
      <c r="F92" s="51">
        <v>44181</v>
      </c>
      <c r="G92" s="4">
        <v>59430</v>
      </c>
      <c r="H92" s="4" t="s">
        <v>21</v>
      </c>
      <c r="I92" s="4" t="s">
        <v>119</v>
      </c>
    </row>
    <row r="93" spans="2:9">
      <c r="B93" s="4" t="s">
        <v>209</v>
      </c>
      <c r="C93" s="4" t="s">
        <v>15</v>
      </c>
      <c r="D93" s="4" t="s">
        <v>20</v>
      </c>
      <c r="E93" s="4">
        <v>33</v>
      </c>
      <c r="F93" s="51">
        <v>44640</v>
      </c>
      <c r="G93" s="4">
        <v>48530</v>
      </c>
      <c r="H93" s="4" t="s">
        <v>17</v>
      </c>
      <c r="I93" s="4" t="s">
        <v>119</v>
      </c>
    </row>
    <row r="94" spans="2:9">
      <c r="B94" s="4" t="s">
        <v>210</v>
      </c>
      <c r="C94" s="4" t="s">
        <v>23</v>
      </c>
      <c r="D94" s="4" t="s">
        <v>31</v>
      </c>
      <c r="E94" s="4">
        <v>33</v>
      </c>
      <c r="F94" s="51">
        <v>44129</v>
      </c>
      <c r="G94" s="4">
        <v>96140</v>
      </c>
      <c r="H94" s="4" t="s">
        <v>21</v>
      </c>
      <c r="I94" s="4" t="s">
        <v>119</v>
      </c>
    </row>
    <row r="95" spans="2:9">
      <c r="B95" s="4" t="s">
        <v>118</v>
      </c>
      <c r="C95" s="4" t="s">
        <v>15</v>
      </c>
      <c r="D95" s="4" t="s">
        <v>31</v>
      </c>
      <c r="E95" s="4">
        <v>20</v>
      </c>
      <c r="F95" s="51">
        <v>44122</v>
      </c>
      <c r="G95" s="4">
        <v>112650</v>
      </c>
      <c r="H95" s="4" t="s">
        <v>21</v>
      </c>
      <c r="I95" s="4" t="s">
        <v>119</v>
      </c>
    </row>
    <row r="96" spans="2:9">
      <c r="B96" s="4" t="s">
        <v>120</v>
      </c>
      <c r="C96" s="4" t="s">
        <v>23</v>
      </c>
      <c r="D96" s="4" t="s">
        <v>31</v>
      </c>
      <c r="E96" s="4">
        <v>32</v>
      </c>
      <c r="F96" s="51">
        <v>44293</v>
      </c>
      <c r="G96" s="4">
        <v>43840</v>
      </c>
      <c r="H96" s="4" t="s">
        <v>17</v>
      </c>
      <c r="I96" s="4" t="s">
        <v>119</v>
      </c>
    </row>
    <row r="97" spans="2:9">
      <c r="B97" s="4" t="s">
        <v>121</v>
      </c>
      <c r="C97" s="4" t="s">
        <v>15</v>
      </c>
      <c r="D97" s="4" t="s">
        <v>20</v>
      </c>
      <c r="E97" s="4">
        <v>31</v>
      </c>
      <c r="F97" s="51">
        <v>44663</v>
      </c>
      <c r="G97" s="4">
        <v>103550</v>
      </c>
      <c r="H97" s="4" t="s">
        <v>21</v>
      </c>
      <c r="I97" s="4" t="s">
        <v>119</v>
      </c>
    </row>
    <row r="98" spans="2:9">
      <c r="B98" s="4" t="s">
        <v>122</v>
      </c>
      <c r="C98" s="4" t="s">
        <v>23</v>
      </c>
      <c r="D98" s="4" t="s">
        <v>34</v>
      </c>
      <c r="E98" s="4">
        <v>32</v>
      </c>
      <c r="F98" s="51">
        <v>44339</v>
      </c>
      <c r="G98" s="4">
        <v>45510</v>
      </c>
      <c r="H98" s="4" t="s">
        <v>21</v>
      </c>
      <c r="I98" s="4" t="s">
        <v>119</v>
      </c>
    </row>
    <row r="99" spans="2:9">
      <c r="B99" s="4" t="s">
        <v>123</v>
      </c>
      <c r="C99" s="4"/>
      <c r="D99" s="4" t="s">
        <v>25</v>
      </c>
      <c r="E99" s="4">
        <v>37</v>
      </c>
      <c r="F99" s="51">
        <v>44085</v>
      </c>
      <c r="G99" s="4">
        <v>115440</v>
      </c>
      <c r="H99" s="4" t="s">
        <v>26</v>
      </c>
      <c r="I99" s="4" t="s">
        <v>119</v>
      </c>
    </row>
    <row r="100" spans="2:9">
      <c r="B100" s="4" t="s">
        <v>124</v>
      </c>
      <c r="C100" s="4" t="s">
        <v>23</v>
      </c>
      <c r="D100" s="4" t="s">
        <v>16</v>
      </c>
      <c r="E100" s="4">
        <v>38</v>
      </c>
      <c r="F100" s="51">
        <v>44268</v>
      </c>
      <c r="G100" s="4">
        <v>56870</v>
      </c>
      <c r="H100" s="4" t="s">
        <v>17</v>
      </c>
      <c r="I100" s="4" t="s">
        <v>119</v>
      </c>
    </row>
    <row r="101" spans="2:9">
      <c r="B101" s="4" t="s">
        <v>125</v>
      </c>
      <c r="C101" s="4" t="s">
        <v>23</v>
      </c>
      <c r="D101" s="4" t="s">
        <v>16</v>
      </c>
      <c r="E101" s="4">
        <v>25</v>
      </c>
      <c r="F101" s="51">
        <v>44144</v>
      </c>
      <c r="G101" s="4">
        <v>92700</v>
      </c>
      <c r="H101" s="4" t="s">
        <v>21</v>
      </c>
      <c r="I101" s="4" t="s">
        <v>119</v>
      </c>
    </row>
    <row r="102" spans="2:9">
      <c r="B102" s="4" t="s">
        <v>126</v>
      </c>
      <c r="C102" s="4"/>
      <c r="D102" s="4" t="s">
        <v>31</v>
      </c>
      <c r="E102" s="4">
        <v>32</v>
      </c>
      <c r="F102" s="51">
        <v>44713</v>
      </c>
      <c r="G102" s="4">
        <v>91310</v>
      </c>
      <c r="H102" s="4" t="s">
        <v>21</v>
      </c>
      <c r="I102" s="4" t="s">
        <v>119</v>
      </c>
    </row>
    <row r="103" spans="2:9">
      <c r="B103" s="4" t="s">
        <v>127</v>
      </c>
      <c r="C103" s="4" t="s">
        <v>15</v>
      </c>
      <c r="D103" s="4" t="s">
        <v>16</v>
      </c>
      <c r="E103" s="4">
        <v>33</v>
      </c>
      <c r="F103" s="51">
        <v>44324</v>
      </c>
      <c r="G103" s="4">
        <v>74550</v>
      </c>
      <c r="H103" s="4" t="s">
        <v>21</v>
      </c>
      <c r="I103" s="4" t="s">
        <v>119</v>
      </c>
    </row>
    <row r="104" spans="2:9">
      <c r="B104" s="4" t="s">
        <v>128</v>
      </c>
      <c r="C104" s="4" t="s">
        <v>15</v>
      </c>
      <c r="D104" s="4" t="s">
        <v>20</v>
      </c>
      <c r="E104" s="4">
        <v>25</v>
      </c>
      <c r="F104" s="51">
        <v>44665</v>
      </c>
      <c r="G104" s="4">
        <v>109190</v>
      </c>
      <c r="H104" s="4" t="s">
        <v>17</v>
      </c>
      <c r="I104" s="4" t="s">
        <v>119</v>
      </c>
    </row>
    <row r="105" spans="2:9">
      <c r="B105" s="4" t="s">
        <v>129</v>
      </c>
      <c r="C105" s="4" t="s">
        <v>23</v>
      </c>
      <c r="D105" s="4" t="s">
        <v>31</v>
      </c>
      <c r="E105" s="4">
        <v>40</v>
      </c>
      <c r="F105" s="51">
        <v>44320</v>
      </c>
      <c r="G105" s="4">
        <v>104410</v>
      </c>
      <c r="H105" s="4" t="s">
        <v>21</v>
      </c>
      <c r="I105" s="4" t="s">
        <v>119</v>
      </c>
    </row>
    <row r="106" spans="2:9">
      <c r="B106" s="4" t="s">
        <v>130</v>
      </c>
      <c r="C106" s="4" t="s">
        <v>15</v>
      </c>
      <c r="D106" s="4" t="s">
        <v>25</v>
      </c>
      <c r="E106" s="4">
        <v>30</v>
      </c>
      <c r="F106" s="51">
        <v>44544</v>
      </c>
      <c r="G106" s="4">
        <v>96800</v>
      </c>
      <c r="H106" s="4" t="s">
        <v>21</v>
      </c>
      <c r="I106" s="4" t="s">
        <v>119</v>
      </c>
    </row>
    <row r="107" spans="2:9">
      <c r="B107" s="4" t="s">
        <v>131</v>
      </c>
      <c r="C107" s="4" t="s">
        <v>15</v>
      </c>
      <c r="D107" s="4" t="s">
        <v>25</v>
      </c>
      <c r="E107" s="4">
        <v>28</v>
      </c>
      <c r="F107" s="51">
        <v>43980</v>
      </c>
      <c r="G107" s="4">
        <v>48170</v>
      </c>
      <c r="H107" s="4" t="s">
        <v>17</v>
      </c>
      <c r="I107" s="4" t="s">
        <v>119</v>
      </c>
    </row>
    <row r="108" spans="2:9">
      <c r="B108" s="4" t="s">
        <v>132</v>
      </c>
      <c r="C108" s="4" t="s">
        <v>15</v>
      </c>
      <c r="D108" s="4" t="s">
        <v>20</v>
      </c>
      <c r="E108" s="4">
        <v>21</v>
      </c>
      <c r="F108" s="51">
        <v>44042</v>
      </c>
      <c r="G108" s="4">
        <v>37920</v>
      </c>
      <c r="H108" s="4" t="s">
        <v>21</v>
      </c>
      <c r="I108" s="4" t="s">
        <v>119</v>
      </c>
    </row>
    <row r="109" spans="2:9">
      <c r="B109" s="4" t="s">
        <v>133</v>
      </c>
      <c r="C109" s="4" t="s">
        <v>15</v>
      </c>
      <c r="D109" s="4" t="s">
        <v>20</v>
      </c>
      <c r="E109" s="4">
        <v>34</v>
      </c>
      <c r="F109" s="51">
        <v>44642</v>
      </c>
      <c r="G109" s="4">
        <v>112650</v>
      </c>
      <c r="H109" s="4" t="s">
        <v>21</v>
      </c>
      <c r="I109" s="4" t="s">
        <v>119</v>
      </c>
    </row>
    <row r="110" spans="2:9">
      <c r="B110" s="4" t="s">
        <v>134</v>
      </c>
      <c r="C110" s="4" t="s">
        <v>23</v>
      </c>
      <c r="D110" s="4" t="s">
        <v>16</v>
      </c>
      <c r="E110" s="4">
        <v>34</v>
      </c>
      <c r="F110" s="51">
        <v>44660</v>
      </c>
      <c r="G110" s="4">
        <v>49630</v>
      </c>
      <c r="H110" s="4" t="s">
        <v>26</v>
      </c>
      <c r="I110" s="4" t="s">
        <v>119</v>
      </c>
    </row>
    <row r="111" spans="2:9">
      <c r="B111" s="4" t="s">
        <v>135</v>
      </c>
      <c r="C111" s="4" t="s">
        <v>15</v>
      </c>
      <c r="D111" s="4" t="s">
        <v>31</v>
      </c>
      <c r="E111" s="4">
        <v>36</v>
      </c>
      <c r="F111" s="51">
        <v>43958</v>
      </c>
      <c r="G111" s="4">
        <v>118840</v>
      </c>
      <c r="H111" s="4" t="s">
        <v>21</v>
      </c>
      <c r="I111" s="4" t="s">
        <v>119</v>
      </c>
    </row>
    <row r="112" spans="2:9">
      <c r="B112" s="4" t="s">
        <v>136</v>
      </c>
      <c r="C112" s="4" t="s">
        <v>15</v>
      </c>
      <c r="D112" s="4" t="s">
        <v>31</v>
      </c>
      <c r="E112" s="4">
        <v>30</v>
      </c>
      <c r="F112" s="51">
        <v>44789</v>
      </c>
      <c r="G112" s="4">
        <v>69710</v>
      </c>
      <c r="H112" s="4" t="s">
        <v>21</v>
      </c>
      <c r="I112" s="4" t="s">
        <v>119</v>
      </c>
    </row>
    <row r="113" spans="2:9">
      <c r="B113" s="4" t="s">
        <v>137</v>
      </c>
      <c r="C113" s="4" t="s">
        <v>15</v>
      </c>
      <c r="D113" s="4" t="s">
        <v>20</v>
      </c>
      <c r="E113" s="4">
        <v>20</v>
      </c>
      <c r="F113" s="51">
        <v>44683</v>
      </c>
      <c r="G113" s="4">
        <v>79570</v>
      </c>
      <c r="H113" s="4" t="s">
        <v>21</v>
      </c>
      <c r="I113" s="4" t="s">
        <v>119</v>
      </c>
    </row>
    <row r="114" spans="2:9">
      <c r="B114" s="4" t="s">
        <v>138</v>
      </c>
      <c r="C114" s="4" t="s">
        <v>23</v>
      </c>
      <c r="D114" s="4" t="s">
        <v>20</v>
      </c>
      <c r="E114" s="4">
        <v>22</v>
      </c>
      <c r="F114" s="51">
        <v>44388</v>
      </c>
      <c r="G114" s="4">
        <v>76900</v>
      </c>
      <c r="H114" s="4" t="s">
        <v>17</v>
      </c>
      <c r="I114" s="4" t="s">
        <v>119</v>
      </c>
    </row>
  </sheetData>
  <autoFilter ref="B2:G114" xr:uid="{00000000-0009-0000-0000-000002000000}"/>
  <conditionalFormatting sqref="K2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P184"/>
  <sheetViews>
    <sheetView workbookViewId="0">
      <selection activeCell="A8" sqref="A8"/>
    </sheetView>
  </sheetViews>
  <sheetFormatPr defaultColWidth="8.88671875" defaultRowHeight="14.4"/>
  <cols>
    <col min="1" max="1" width="29.6640625" customWidth="1"/>
    <col min="2" max="2" width="10" customWidth="1"/>
    <col min="3" max="3" width="12.44140625" customWidth="1"/>
    <col min="4" max="4" width="5.44140625" customWidth="1"/>
    <col min="5" max="5" width="12.88671875" customWidth="1"/>
    <col min="6" max="6" width="11.88671875" customWidth="1"/>
    <col min="8" max="8" width="8.109375" customWidth="1"/>
    <col min="9" max="9" width="12.88671875"/>
    <col min="10" max="10" width="9.6640625"/>
  </cols>
  <sheetData>
    <row r="1" spans="1:1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211</v>
      </c>
      <c r="J1" s="4" t="s">
        <v>212</v>
      </c>
    </row>
    <row r="2" spans="1:16" ht="23.4">
      <c r="A2" s="4" t="s">
        <v>118</v>
      </c>
      <c r="B2" s="4" t="s">
        <v>15</v>
      </c>
      <c r="C2" s="4" t="s">
        <v>31</v>
      </c>
      <c r="D2" s="4">
        <v>20</v>
      </c>
      <c r="E2" s="5">
        <v>44122</v>
      </c>
      <c r="F2" s="6">
        <v>112650</v>
      </c>
      <c r="G2" s="4" t="s">
        <v>21</v>
      </c>
      <c r="H2" s="4" t="s">
        <v>119</v>
      </c>
      <c r="I2" s="10">
        <f ca="1">(TODAY()-E2)/365</f>
        <v>5.0027397260273974</v>
      </c>
      <c r="J2" s="6">
        <f ca="1">ROUNDUP(IF(I2&gt;3,3%,2%)*F2,0)</f>
        <v>3380</v>
      </c>
      <c r="L2" s="49" t="s">
        <v>213</v>
      </c>
      <c r="M2" s="44" t="s">
        <v>214</v>
      </c>
      <c r="N2" s="50"/>
      <c r="O2" s="50"/>
      <c r="P2" s="50"/>
    </row>
    <row r="3" spans="1:16">
      <c r="A3" s="4" t="s">
        <v>120</v>
      </c>
      <c r="B3" s="4" t="s">
        <v>23</v>
      </c>
      <c r="C3" s="4" t="s">
        <v>31</v>
      </c>
      <c r="D3" s="4">
        <v>32</v>
      </c>
      <c r="E3" s="5">
        <v>44293</v>
      </c>
      <c r="F3" s="6">
        <v>43840</v>
      </c>
      <c r="G3" s="4" t="s">
        <v>17</v>
      </c>
      <c r="H3" s="4" t="s">
        <v>119</v>
      </c>
      <c r="I3" s="10">
        <f t="shared" ref="I3:I34" ca="1" si="0">(TODAY()-E3)/365</f>
        <v>4.5342465753424657</v>
      </c>
      <c r="J3" s="6">
        <f t="shared" ref="J3:J34" ca="1" si="1">ROUNDUP(IF(I3&gt;3,3%,2%)*F3,0)</f>
        <v>1316</v>
      </c>
    </row>
    <row r="4" spans="1:16">
      <c r="A4" s="4" t="s">
        <v>121</v>
      </c>
      <c r="B4" s="4" t="s">
        <v>15</v>
      </c>
      <c r="C4" s="4" t="s">
        <v>20</v>
      </c>
      <c r="D4" s="4">
        <v>31</v>
      </c>
      <c r="E4" s="5">
        <v>44663</v>
      </c>
      <c r="F4" s="6">
        <v>103550</v>
      </c>
      <c r="G4" s="4" t="s">
        <v>21</v>
      </c>
      <c r="H4" s="4" t="s">
        <v>119</v>
      </c>
      <c r="I4" s="10">
        <f t="shared" ca="1" si="0"/>
        <v>3.5205479452054793</v>
      </c>
      <c r="J4" s="6">
        <f t="shared" ca="1" si="1"/>
        <v>3107</v>
      </c>
    </row>
    <row r="5" spans="1:16">
      <c r="A5" s="4" t="s">
        <v>122</v>
      </c>
      <c r="B5" s="4" t="s">
        <v>23</v>
      </c>
      <c r="C5" s="4" t="s">
        <v>34</v>
      </c>
      <c r="D5" s="4">
        <v>32</v>
      </c>
      <c r="E5" s="5">
        <v>44339</v>
      </c>
      <c r="F5" s="6">
        <v>45510</v>
      </c>
      <c r="G5" s="4" t="s">
        <v>21</v>
      </c>
      <c r="H5" s="4" t="s">
        <v>119</v>
      </c>
      <c r="I5" s="10">
        <f t="shared" ca="1" si="0"/>
        <v>4.4082191780821915</v>
      </c>
      <c r="J5" s="6">
        <f t="shared" ca="1" si="1"/>
        <v>1366</v>
      </c>
    </row>
    <row r="6" spans="1:16">
      <c r="A6" s="4" t="s">
        <v>123</v>
      </c>
      <c r="B6" s="4" t="s">
        <v>215</v>
      </c>
      <c r="C6" s="4" t="s">
        <v>25</v>
      </c>
      <c r="D6" s="4">
        <v>37</v>
      </c>
      <c r="E6" s="5">
        <v>44085</v>
      </c>
      <c r="F6" s="6">
        <v>115440</v>
      </c>
      <c r="G6" s="4" t="s">
        <v>26</v>
      </c>
      <c r="H6" s="4" t="s">
        <v>119</v>
      </c>
      <c r="I6" s="10">
        <f t="shared" ca="1" si="0"/>
        <v>5.1041095890410961</v>
      </c>
      <c r="J6" s="6">
        <f t="shared" ca="1" si="1"/>
        <v>3464</v>
      </c>
    </row>
    <row r="7" spans="1:16">
      <c r="A7" s="4" t="s">
        <v>124</v>
      </c>
      <c r="B7" s="4" t="s">
        <v>23</v>
      </c>
      <c r="C7" s="4" t="s">
        <v>16</v>
      </c>
      <c r="D7" s="4">
        <v>38</v>
      </c>
      <c r="E7" s="5">
        <v>44268</v>
      </c>
      <c r="F7" s="6">
        <v>56870</v>
      </c>
      <c r="G7" s="4" t="s">
        <v>17</v>
      </c>
      <c r="H7" s="4" t="s">
        <v>119</v>
      </c>
      <c r="I7" s="10">
        <f t="shared" ca="1" si="0"/>
        <v>4.602739726027397</v>
      </c>
      <c r="J7" s="6">
        <f t="shared" ca="1" si="1"/>
        <v>1707</v>
      </c>
    </row>
    <row r="8" spans="1:16">
      <c r="A8" s="4" t="s">
        <v>125</v>
      </c>
      <c r="B8" s="4" t="s">
        <v>23</v>
      </c>
      <c r="C8" s="4" t="s">
        <v>16</v>
      </c>
      <c r="D8" s="4">
        <v>25</v>
      </c>
      <c r="E8" s="5">
        <v>44144</v>
      </c>
      <c r="F8" s="6">
        <v>92700</v>
      </c>
      <c r="G8" s="4" t="s">
        <v>21</v>
      </c>
      <c r="H8" s="4" t="s">
        <v>119</v>
      </c>
      <c r="I8" s="10">
        <f t="shared" ca="1" si="0"/>
        <v>4.9424657534246572</v>
      </c>
      <c r="J8" s="6">
        <f t="shared" ca="1" si="1"/>
        <v>2781</v>
      </c>
    </row>
    <row r="9" spans="1:16">
      <c r="A9" s="4" t="s">
        <v>126</v>
      </c>
      <c r="B9" s="4" t="s">
        <v>215</v>
      </c>
      <c r="C9" s="4" t="s">
        <v>31</v>
      </c>
      <c r="D9" s="4">
        <v>32</v>
      </c>
      <c r="E9" s="5">
        <v>44713</v>
      </c>
      <c r="F9" s="6">
        <v>91310</v>
      </c>
      <c r="G9" s="4" t="s">
        <v>21</v>
      </c>
      <c r="H9" s="4" t="s">
        <v>119</v>
      </c>
      <c r="I9" s="10">
        <f t="shared" ca="1" si="0"/>
        <v>3.3835616438356166</v>
      </c>
      <c r="J9" s="6">
        <f t="shared" ca="1" si="1"/>
        <v>2740</v>
      </c>
    </row>
    <row r="10" spans="1:16">
      <c r="A10" s="4" t="s">
        <v>127</v>
      </c>
      <c r="B10" s="4" t="s">
        <v>15</v>
      </c>
      <c r="C10" s="4" t="s">
        <v>16</v>
      </c>
      <c r="D10" s="4">
        <v>33</v>
      </c>
      <c r="E10" s="5">
        <v>44324</v>
      </c>
      <c r="F10" s="6">
        <v>74550</v>
      </c>
      <c r="G10" s="4" t="s">
        <v>21</v>
      </c>
      <c r="H10" s="4" t="s">
        <v>119</v>
      </c>
      <c r="I10" s="10">
        <f t="shared" ca="1" si="0"/>
        <v>4.4493150684931511</v>
      </c>
      <c r="J10" s="6">
        <f t="shared" ca="1" si="1"/>
        <v>2237</v>
      </c>
    </row>
    <row r="11" spans="1:16">
      <c r="A11" s="4" t="s">
        <v>128</v>
      </c>
      <c r="B11" s="4" t="s">
        <v>15</v>
      </c>
      <c r="C11" s="4" t="s">
        <v>20</v>
      </c>
      <c r="D11" s="4">
        <v>25</v>
      </c>
      <c r="E11" s="5">
        <v>44665</v>
      </c>
      <c r="F11" s="6">
        <v>109190</v>
      </c>
      <c r="G11" s="4" t="s">
        <v>17</v>
      </c>
      <c r="H11" s="4" t="s">
        <v>119</v>
      </c>
      <c r="I11" s="10">
        <f t="shared" ca="1" si="0"/>
        <v>3.515068493150685</v>
      </c>
      <c r="J11" s="6">
        <f t="shared" ca="1" si="1"/>
        <v>3276</v>
      </c>
    </row>
    <row r="12" spans="1:16">
      <c r="A12" s="4" t="s">
        <v>129</v>
      </c>
      <c r="B12" s="4" t="s">
        <v>23</v>
      </c>
      <c r="C12" s="4" t="s">
        <v>31</v>
      </c>
      <c r="D12" s="4">
        <v>40</v>
      </c>
      <c r="E12" s="5">
        <v>44320</v>
      </c>
      <c r="F12" s="6">
        <v>104410</v>
      </c>
      <c r="G12" s="4" t="s">
        <v>21</v>
      </c>
      <c r="H12" s="4" t="s">
        <v>119</v>
      </c>
      <c r="I12" s="10">
        <f t="shared" ca="1" si="0"/>
        <v>4.4602739726027396</v>
      </c>
      <c r="J12" s="6">
        <f t="shared" ca="1" si="1"/>
        <v>3133</v>
      </c>
    </row>
    <row r="13" spans="1:16">
      <c r="A13" s="4" t="s">
        <v>130</v>
      </c>
      <c r="B13" s="4" t="s">
        <v>15</v>
      </c>
      <c r="C13" s="4" t="s">
        <v>25</v>
      </c>
      <c r="D13" s="4">
        <v>30</v>
      </c>
      <c r="E13" s="5">
        <v>44544</v>
      </c>
      <c r="F13" s="6">
        <v>96800</v>
      </c>
      <c r="G13" s="4" t="s">
        <v>21</v>
      </c>
      <c r="H13" s="4" t="s">
        <v>119</v>
      </c>
      <c r="I13" s="10">
        <f t="shared" ca="1" si="0"/>
        <v>3.8465753424657536</v>
      </c>
      <c r="J13" s="6">
        <f t="shared" ca="1" si="1"/>
        <v>2904</v>
      </c>
    </row>
    <row r="14" spans="1:16">
      <c r="A14" s="4" t="s">
        <v>131</v>
      </c>
      <c r="B14" s="4" t="s">
        <v>15</v>
      </c>
      <c r="C14" s="4" t="s">
        <v>25</v>
      </c>
      <c r="D14" s="4">
        <v>28</v>
      </c>
      <c r="E14" s="5">
        <v>43980</v>
      </c>
      <c r="F14" s="6">
        <v>48170</v>
      </c>
      <c r="G14" s="4" t="s">
        <v>17</v>
      </c>
      <c r="H14" s="4" t="s">
        <v>119</v>
      </c>
      <c r="I14" s="10">
        <f t="shared" ca="1" si="0"/>
        <v>5.3917808219178083</v>
      </c>
      <c r="J14" s="6">
        <f t="shared" ca="1" si="1"/>
        <v>1446</v>
      </c>
    </row>
    <row r="15" spans="1:16">
      <c r="A15" s="4" t="s">
        <v>132</v>
      </c>
      <c r="B15" s="4" t="s">
        <v>15</v>
      </c>
      <c r="C15" s="4" t="s">
        <v>20</v>
      </c>
      <c r="D15" s="4">
        <v>21</v>
      </c>
      <c r="E15" s="5">
        <v>44042</v>
      </c>
      <c r="F15" s="6">
        <v>37920</v>
      </c>
      <c r="G15" s="4" t="s">
        <v>21</v>
      </c>
      <c r="H15" s="4" t="s">
        <v>119</v>
      </c>
      <c r="I15" s="10">
        <f t="shared" ca="1" si="0"/>
        <v>5.2219178082191782</v>
      </c>
      <c r="J15" s="6">
        <f t="shared" ca="1" si="1"/>
        <v>1138</v>
      </c>
    </row>
    <row r="16" spans="1:16">
      <c r="A16" s="4" t="s">
        <v>133</v>
      </c>
      <c r="B16" s="4" t="s">
        <v>15</v>
      </c>
      <c r="C16" s="4" t="s">
        <v>20</v>
      </c>
      <c r="D16" s="4">
        <v>34</v>
      </c>
      <c r="E16" s="5">
        <v>44642</v>
      </c>
      <c r="F16" s="6">
        <v>112650</v>
      </c>
      <c r="G16" s="4" t="s">
        <v>21</v>
      </c>
      <c r="H16" s="4" t="s">
        <v>119</v>
      </c>
      <c r="I16" s="10">
        <f t="shared" ca="1" si="0"/>
        <v>3.5780821917808221</v>
      </c>
      <c r="J16" s="6">
        <f t="shared" ca="1" si="1"/>
        <v>3380</v>
      </c>
    </row>
    <row r="17" spans="1:10">
      <c r="A17" s="4" t="s">
        <v>134</v>
      </c>
      <c r="B17" s="4" t="s">
        <v>23</v>
      </c>
      <c r="C17" s="4" t="s">
        <v>16</v>
      </c>
      <c r="D17" s="4">
        <v>34</v>
      </c>
      <c r="E17" s="5">
        <v>44660</v>
      </c>
      <c r="F17" s="6">
        <v>49630</v>
      </c>
      <c r="G17" s="4" t="s">
        <v>26</v>
      </c>
      <c r="H17" s="4" t="s">
        <v>119</v>
      </c>
      <c r="I17" s="10">
        <f t="shared" ca="1" si="0"/>
        <v>3.5287671232876714</v>
      </c>
      <c r="J17" s="6">
        <f t="shared" ca="1" si="1"/>
        <v>1489</v>
      </c>
    </row>
    <row r="18" spans="1:10">
      <c r="A18" s="4" t="s">
        <v>135</v>
      </c>
      <c r="B18" s="4" t="s">
        <v>15</v>
      </c>
      <c r="C18" s="4" t="s">
        <v>31</v>
      </c>
      <c r="D18" s="4">
        <v>36</v>
      </c>
      <c r="E18" s="5">
        <v>43958</v>
      </c>
      <c r="F18" s="6">
        <v>118840</v>
      </c>
      <c r="G18" s="4" t="s">
        <v>21</v>
      </c>
      <c r="H18" s="4" t="s">
        <v>119</v>
      </c>
      <c r="I18" s="10">
        <f t="shared" ca="1" si="0"/>
        <v>5.4520547945205475</v>
      </c>
      <c r="J18" s="6">
        <f t="shared" ca="1" si="1"/>
        <v>3566</v>
      </c>
    </row>
    <row r="19" spans="1:10">
      <c r="A19" s="4" t="s">
        <v>136</v>
      </c>
      <c r="B19" s="4" t="s">
        <v>15</v>
      </c>
      <c r="C19" s="4" t="s">
        <v>31</v>
      </c>
      <c r="D19" s="4">
        <v>30</v>
      </c>
      <c r="E19" s="5">
        <v>44789</v>
      </c>
      <c r="F19" s="6">
        <v>69710</v>
      </c>
      <c r="G19" s="4" t="s">
        <v>21</v>
      </c>
      <c r="H19" s="4" t="s">
        <v>119</v>
      </c>
      <c r="I19" s="10">
        <f t="shared" ca="1" si="0"/>
        <v>3.1753424657534248</v>
      </c>
      <c r="J19" s="6">
        <f t="shared" ca="1" si="1"/>
        <v>2092</v>
      </c>
    </row>
    <row r="20" spans="1:10">
      <c r="A20" s="4" t="s">
        <v>137</v>
      </c>
      <c r="B20" s="4" t="s">
        <v>15</v>
      </c>
      <c r="C20" s="4" t="s">
        <v>20</v>
      </c>
      <c r="D20" s="4">
        <v>20</v>
      </c>
      <c r="E20" s="5">
        <v>44683</v>
      </c>
      <c r="F20" s="6">
        <v>79570</v>
      </c>
      <c r="G20" s="4" t="s">
        <v>21</v>
      </c>
      <c r="H20" s="4" t="s">
        <v>119</v>
      </c>
      <c r="I20" s="10">
        <f t="shared" ca="1" si="0"/>
        <v>3.4657534246575343</v>
      </c>
      <c r="J20" s="6">
        <f t="shared" ca="1" si="1"/>
        <v>2388</v>
      </c>
    </row>
    <row r="21" spans="1:10">
      <c r="A21" s="4" t="s">
        <v>138</v>
      </c>
      <c r="B21" s="4" t="s">
        <v>23</v>
      </c>
      <c r="C21" s="4" t="s">
        <v>20</v>
      </c>
      <c r="D21" s="4">
        <v>22</v>
      </c>
      <c r="E21" s="5">
        <v>44388</v>
      </c>
      <c r="F21" s="6">
        <v>76900</v>
      </c>
      <c r="G21" s="4" t="s">
        <v>17</v>
      </c>
      <c r="H21" s="4" t="s">
        <v>119</v>
      </c>
      <c r="I21" s="10">
        <f t="shared" ca="1" si="0"/>
        <v>4.2739726027397262</v>
      </c>
      <c r="J21" s="6">
        <f t="shared" ca="1" si="1"/>
        <v>2307</v>
      </c>
    </row>
    <row r="22" spans="1:10">
      <c r="A22" s="4" t="s">
        <v>139</v>
      </c>
      <c r="B22" s="4" t="s">
        <v>15</v>
      </c>
      <c r="C22" s="4" t="s">
        <v>16</v>
      </c>
      <c r="D22" s="4">
        <v>27</v>
      </c>
      <c r="E22" s="5">
        <v>44073</v>
      </c>
      <c r="F22" s="6">
        <v>54970</v>
      </c>
      <c r="G22" s="4" t="s">
        <v>21</v>
      </c>
      <c r="H22" s="4" t="s">
        <v>119</v>
      </c>
      <c r="I22" s="10">
        <f t="shared" ca="1" si="0"/>
        <v>5.1369863013698627</v>
      </c>
      <c r="J22" s="6">
        <f t="shared" ca="1" si="1"/>
        <v>1650</v>
      </c>
    </row>
    <row r="23" spans="1:10">
      <c r="A23" s="4" t="s">
        <v>140</v>
      </c>
      <c r="B23" s="4" t="s">
        <v>15</v>
      </c>
      <c r="C23" s="4" t="s">
        <v>31</v>
      </c>
      <c r="D23" s="4">
        <v>37</v>
      </c>
      <c r="E23" s="5">
        <v>44277</v>
      </c>
      <c r="F23" s="6">
        <v>88050</v>
      </c>
      <c r="G23" s="4" t="s">
        <v>26</v>
      </c>
      <c r="H23" s="4" t="s">
        <v>119</v>
      </c>
      <c r="I23" s="10">
        <f t="shared" ca="1" si="0"/>
        <v>4.5780821917808217</v>
      </c>
      <c r="J23" s="6">
        <f t="shared" ca="1" si="1"/>
        <v>2642</v>
      </c>
    </row>
    <row r="24" spans="1:10">
      <c r="A24" s="4" t="s">
        <v>141</v>
      </c>
      <c r="B24" s="4" t="s">
        <v>15</v>
      </c>
      <c r="C24" s="4" t="s">
        <v>16</v>
      </c>
      <c r="D24" s="4">
        <v>43</v>
      </c>
      <c r="E24" s="5">
        <v>44558</v>
      </c>
      <c r="F24" s="6">
        <v>36040</v>
      </c>
      <c r="G24" s="4" t="s">
        <v>21</v>
      </c>
      <c r="H24" s="4" t="s">
        <v>119</v>
      </c>
      <c r="I24" s="10">
        <f t="shared" ca="1" si="0"/>
        <v>3.8082191780821919</v>
      </c>
      <c r="J24" s="6">
        <f t="shared" ca="1" si="1"/>
        <v>1082</v>
      </c>
    </row>
    <row r="25" spans="1:10">
      <c r="A25" s="4" t="s">
        <v>142</v>
      </c>
      <c r="B25" s="4" t="s">
        <v>23</v>
      </c>
      <c r="C25" s="4" t="s">
        <v>20</v>
      </c>
      <c r="D25" s="4">
        <v>42</v>
      </c>
      <c r="E25" s="5">
        <v>44718</v>
      </c>
      <c r="F25" s="6">
        <v>75000</v>
      </c>
      <c r="G25" s="4" t="s">
        <v>51</v>
      </c>
      <c r="H25" s="4" t="s">
        <v>119</v>
      </c>
      <c r="I25" s="10">
        <f t="shared" ca="1" si="0"/>
        <v>3.3698630136986303</v>
      </c>
      <c r="J25" s="6">
        <f t="shared" ca="1" si="1"/>
        <v>2250</v>
      </c>
    </row>
    <row r="26" spans="1:10">
      <c r="A26" s="4" t="s">
        <v>143</v>
      </c>
      <c r="B26" s="4" t="s">
        <v>15</v>
      </c>
      <c r="C26" s="4" t="s">
        <v>20</v>
      </c>
      <c r="D26" s="4">
        <v>35</v>
      </c>
      <c r="E26" s="5">
        <v>44666</v>
      </c>
      <c r="F26" s="6">
        <v>40400</v>
      </c>
      <c r="G26" s="4" t="s">
        <v>21</v>
      </c>
      <c r="H26" s="4" t="s">
        <v>119</v>
      </c>
      <c r="I26" s="10">
        <f t="shared" ca="1" si="0"/>
        <v>3.5123287671232877</v>
      </c>
      <c r="J26" s="6">
        <f t="shared" ca="1" si="1"/>
        <v>1212</v>
      </c>
    </row>
    <row r="27" spans="1:10">
      <c r="A27" s="4" t="s">
        <v>144</v>
      </c>
      <c r="B27" s="4" t="s">
        <v>15</v>
      </c>
      <c r="C27" s="4" t="s">
        <v>31</v>
      </c>
      <c r="D27" s="4">
        <v>24</v>
      </c>
      <c r="E27" s="5">
        <v>44625</v>
      </c>
      <c r="F27" s="6">
        <v>100420</v>
      </c>
      <c r="G27" s="4" t="s">
        <v>21</v>
      </c>
      <c r="H27" s="4" t="s">
        <v>119</v>
      </c>
      <c r="I27" s="10">
        <f t="shared" ca="1" si="0"/>
        <v>3.6246575342465754</v>
      </c>
      <c r="J27" s="6">
        <f t="shared" ca="1" si="1"/>
        <v>3013</v>
      </c>
    </row>
    <row r="28" spans="1:10">
      <c r="A28" s="4" t="s">
        <v>145</v>
      </c>
      <c r="B28" s="4" t="s">
        <v>23</v>
      </c>
      <c r="C28" s="4" t="s">
        <v>31</v>
      </c>
      <c r="D28" s="4">
        <v>31</v>
      </c>
      <c r="E28" s="5">
        <v>44604</v>
      </c>
      <c r="F28" s="6">
        <v>58100</v>
      </c>
      <c r="G28" s="4" t="s">
        <v>21</v>
      </c>
      <c r="H28" s="4" t="s">
        <v>119</v>
      </c>
      <c r="I28" s="10">
        <f t="shared" ca="1" si="0"/>
        <v>3.6821917808219178</v>
      </c>
      <c r="J28" s="6">
        <f t="shared" ca="1" si="1"/>
        <v>1743</v>
      </c>
    </row>
    <row r="29" spans="1:10">
      <c r="A29" s="4" t="s">
        <v>146</v>
      </c>
      <c r="B29" s="4" t="s">
        <v>23</v>
      </c>
      <c r="C29" s="4" t="s">
        <v>31</v>
      </c>
      <c r="D29" s="4">
        <v>44</v>
      </c>
      <c r="E29" s="5">
        <v>44985</v>
      </c>
      <c r="F29" s="6">
        <v>114870</v>
      </c>
      <c r="G29" s="4" t="s">
        <v>21</v>
      </c>
      <c r="H29" s="4" t="s">
        <v>119</v>
      </c>
      <c r="I29" s="10">
        <f t="shared" ca="1" si="0"/>
        <v>2.6383561643835618</v>
      </c>
      <c r="J29" s="6">
        <f t="shared" ca="1" si="1"/>
        <v>2298</v>
      </c>
    </row>
    <row r="30" spans="1:10">
      <c r="A30" s="4" t="s">
        <v>147</v>
      </c>
      <c r="B30" s="4" t="s">
        <v>23</v>
      </c>
      <c r="C30" s="4" t="s">
        <v>20</v>
      </c>
      <c r="D30" s="4">
        <v>32</v>
      </c>
      <c r="E30" s="5">
        <v>44549</v>
      </c>
      <c r="F30" s="6">
        <v>41570</v>
      </c>
      <c r="G30" s="4" t="s">
        <v>21</v>
      </c>
      <c r="H30" s="4" t="s">
        <v>119</v>
      </c>
      <c r="I30" s="10">
        <f t="shared" ca="1" si="0"/>
        <v>3.8328767123287673</v>
      </c>
      <c r="J30" s="6">
        <f t="shared" ca="1" si="1"/>
        <v>1248</v>
      </c>
    </row>
    <row r="31" spans="1:10">
      <c r="A31" s="4" t="s">
        <v>148</v>
      </c>
      <c r="B31" s="4" t="s">
        <v>23</v>
      </c>
      <c r="C31" s="4" t="s">
        <v>20</v>
      </c>
      <c r="D31" s="4">
        <v>30</v>
      </c>
      <c r="E31" s="5">
        <v>44800</v>
      </c>
      <c r="F31" s="6">
        <v>112570</v>
      </c>
      <c r="G31" s="4" t="s">
        <v>21</v>
      </c>
      <c r="H31" s="4" t="s">
        <v>119</v>
      </c>
      <c r="I31" s="10">
        <f t="shared" ca="1" si="0"/>
        <v>3.1452054794520548</v>
      </c>
      <c r="J31" s="6">
        <f t="shared" ca="1" si="1"/>
        <v>3378</v>
      </c>
    </row>
    <row r="32" spans="1:10">
      <c r="A32" s="4" t="s">
        <v>149</v>
      </c>
      <c r="B32" s="4" t="s">
        <v>15</v>
      </c>
      <c r="C32" s="4" t="s">
        <v>20</v>
      </c>
      <c r="D32" s="4">
        <v>26</v>
      </c>
      <c r="E32" s="5">
        <v>44164</v>
      </c>
      <c r="F32" s="6">
        <v>47360</v>
      </c>
      <c r="G32" s="4" t="s">
        <v>21</v>
      </c>
      <c r="H32" s="4" t="s">
        <v>119</v>
      </c>
      <c r="I32" s="10">
        <f t="shared" ca="1" si="0"/>
        <v>4.8876712328767127</v>
      </c>
      <c r="J32" s="6">
        <f t="shared" ca="1" si="1"/>
        <v>1421</v>
      </c>
    </row>
    <row r="33" spans="1:10">
      <c r="A33" s="4" t="s">
        <v>150</v>
      </c>
      <c r="B33" s="4" t="s">
        <v>23</v>
      </c>
      <c r="C33" s="4" t="s">
        <v>25</v>
      </c>
      <c r="D33" s="4">
        <v>21</v>
      </c>
      <c r="E33" s="5">
        <v>44256</v>
      </c>
      <c r="F33" s="6">
        <v>65920</v>
      </c>
      <c r="G33" s="4" t="s">
        <v>21</v>
      </c>
      <c r="H33" s="4" t="s">
        <v>119</v>
      </c>
      <c r="I33" s="10">
        <f t="shared" ca="1" si="0"/>
        <v>4.6356164383561644</v>
      </c>
      <c r="J33" s="6">
        <f t="shared" ca="1" si="1"/>
        <v>1978</v>
      </c>
    </row>
    <row r="34" spans="1:10">
      <c r="A34" s="4" t="s">
        <v>151</v>
      </c>
      <c r="B34" s="4" t="s">
        <v>23</v>
      </c>
      <c r="C34" s="4" t="s">
        <v>20</v>
      </c>
      <c r="D34" s="4">
        <v>28</v>
      </c>
      <c r="E34" s="5">
        <v>44571</v>
      </c>
      <c r="F34" s="6">
        <v>99970</v>
      </c>
      <c r="G34" s="4" t="s">
        <v>21</v>
      </c>
      <c r="H34" s="4" t="s">
        <v>119</v>
      </c>
      <c r="I34" s="10">
        <f t="shared" ca="1" si="0"/>
        <v>3.7726027397260276</v>
      </c>
      <c r="J34" s="6">
        <f t="shared" ca="1" si="1"/>
        <v>3000</v>
      </c>
    </row>
    <row r="35" spans="1:10">
      <c r="A35" s="4" t="s">
        <v>152</v>
      </c>
      <c r="B35" s="4" t="s">
        <v>23</v>
      </c>
      <c r="C35" s="4" t="s">
        <v>31</v>
      </c>
      <c r="D35" s="4">
        <v>25</v>
      </c>
      <c r="E35" s="5">
        <v>44633</v>
      </c>
      <c r="F35" s="6">
        <v>80700</v>
      </c>
      <c r="G35" s="4" t="s">
        <v>17</v>
      </c>
      <c r="H35" s="4" t="s">
        <v>119</v>
      </c>
      <c r="I35" s="10">
        <f t="shared" ref="I35:I66" ca="1" si="2">(TODAY()-E35)/365</f>
        <v>3.6027397260273974</v>
      </c>
      <c r="J35" s="6">
        <f t="shared" ref="J35:J66" ca="1" si="3">ROUNDUP(IF(I35&gt;3,3%,2%)*F35,0)</f>
        <v>2421</v>
      </c>
    </row>
    <row r="36" spans="1:10">
      <c r="A36" s="4" t="s">
        <v>153</v>
      </c>
      <c r="B36" s="4" t="s">
        <v>15</v>
      </c>
      <c r="C36" s="4" t="s">
        <v>25</v>
      </c>
      <c r="D36" s="4">
        <v>24</v>
      </c>
      <c r="E36" s="5">
        <v>44375</v>
      </c>
      <c r="F36" s="6">
        <v>52610</v>
      </c>
      <c r="G36" s="4" t="s">
        <v>26</v>
      </c>
      <c r="H36" s="4" t="s">
        <v>119</v>
      </c>
      <c r="I36" s="10">
        <f t="shared" ca="1" si="2"/>
        <v>4.3095890410958901</v>
      </c>
      <c r="J36" s="6">
        <f t="shared" ca="1" si="3"/>
        <v>1579</v>
      </c>
    </row>
    <row r="37" spans="1:10">
      <c r="A37" s="4" t="s">
        <v>154</v>
      </c>
      <c r="B37" s="4" t="s">
        <v>15</v>
      </c>
      <c r="C37" s="4" t="s">
        <v>31</v>
      </c>
      <c r="D37" s="4">
        <v>29</v>
      </c>
      <c r="E37" s="5">
        <v>44119</v>
      </c>
      <c r="F37" s="6">
        <v>112110</v>
      </c>
      <c r="G37" s="4" t="s">
        <v>26</v>
      </c>
      <c r="H37" s="4" t="s">
        <v>119</v>
      </c>
      <c r="I37" s="10">
        <f t="shared" ca="1" si="2"/>
        <v>5.0109589041095894</v>
      </c>
      <c r="J37" s="6">
        <f t="shared" ca="1" si="3"/>
        <v>3364</v>
      </c>
    </row>
    <row r="38" spans="1:10">
      <c r="A38" s="4" t="s">
        <v>155</v>
      </c>
      <c r="B38" s="4" t="s">
        <v>23</v>
      </c>
      <c r="C38" s="4" t="s">
        <v>34</v>
      </c>
      <c r="D38" s="4">
        <v>27</v>
      </c>
      <c r="E38" s="5">
        <v>44061</v>
      </c>
      <c r="F38" s="6">
        <v>119110</v>
      </c>
      <c r="G38" s="4" t="s">
        <v>21</v>
      </c>
      <c r="H38" s="4" t="s">
        <v>119</v>
      </c>
      <c r="I38" s="10">
        <f t="shared" ca="1" si="2"/>
        <v>5.1698630136986301</v>
      </c>
      <c r="J38" s="6">
        <f t="shared" ca="1" si="3"/>
        <v>3574</v>
      </c>
    </row>
    <row r="39" spans="1:10">
      <c r="A39" s="4" t="s">
        <v>156</v>
      </c>
      <c r="B39" s="4" t="s">
        <v>15</v>
      </c>
      <c r="C39" s="4" t="s">
        <v>16</v>
      </c>
      <c r="D39" s="4">
        <v>22</v>
      </c>
      <c r="E39" s="5">
        <v>44384</v>
      </c>
      <c r="F39" s="6">
        <v>112780</v>
      </c>
      <c r="G39" s="4" t="s">
        <v>17</v>
      </c>
      <c r="H39" s="4" t="s">
        <v>119</v>
      </c>
      <c r="I39" s="10">
        <f t="shared" ca="1" si="2"/>
        <v>4.2849315068493148</v>
      </c>
      <c r="J39" s="6">
        <f t="shared" ca="1" si="3"/>
        <v>3384</v>
      </c>
    </row>
    <row r="40" spans="1:10">
      <c r="A40" s="4" t="s">
        <v>157</v>
      </c>
      <c r="B40" s="4" t="s">
        <v>23</v>
      </c>
      <c r="C40" s="4" t="s">
        <v>20</v>
      </c>
      <c r="D40" s="4">
        <v>36</v>
      </c>
      <c r="E40" s="5">
        <v>44023</v>
      </c>
      <c r="F40" s="6">
        <v>114890</v>
      </c>
      <c r="G40" s="4" t="s">
        <v>21</v>
      </c>
      <c r="H40" s="4" t="s">
        <v>119</v>
      </c>
      <c r="I40" s="10">
        <f t="shared" ca="1" si="2"/>
        <v>5.2739726027397262</v>
      </c>
      <c r="J40" s="6">
        <f t="shared" ca="1" si="3"/>
        <v>3447</v>
      </c>
    </row>
    <row r="41" spans="1:10">
      <c r="A41" s="4" t="s">
        <v>158</v>
      </c>
      <c r="B41" s="4" t="s">
        <v>15</v>
      </c>
      <c r="C41" s="4" t="s">
        <v>25</v>
      </c>
      <c r="D41" s="4">
        <v>27</v>
      </c>
      <c r="E41" s="5">
        <v>44506</v>
      </c>
      <c r="F41" s="6">
        <v>48980</v>
      </c>
      <c r="G41" s="4" t="s">
        <v>21</v>
      </c>
      <c r="H41" s="4" t="s">
        <v>119</v>
      </c>
      <c r="I41" s="10">
        <f t="shared" ca="1" si="2"/>
        <v>3.9506849315068493</v>
      </c>
      <c r="J41" s="6">
        <f t="shared" ca="1" si="3"/>
        <v>1470</v>
      </c>
    </row>
    <row r="42" spans="1:10">
      <c r="A42" s="4" t="s">
        <v>159</v>
      </c>
      <c r="B42" s="4" t="s">
        <v>15</v>
      </c>
      <c r="C42" s="4" t="s">
        <v>34</v>
      </c>
      <c r="D42" s="4">
        <v>21</v>
      </c>
      <c r="E42" s="5">
        <v>44180</v>
      </c>
      <c r="F42" s="6">
        <v>75880</v>
      </c>
      <c r="G42" s="4" t="s">
        <v>21</v>
      </c>
      <c r="H42" s="4" t="s">
        <v>119</v>
      </c>
      <c r="I42" s="10">
        <f t="shared" ca="1" si="2"/>
        <v>4.8438356164383558</v>
      </c>
      <c r="J42" s="6">
        <f t="shared" ca="1" si="3"/>
        <v>2277</v>
      </c>
    </row>
    <row r="43" spans="1:10">
      <c r="A43" s="4" t="s">
        <v>160</v>
      </c>
      <c r="B43" s="4" t="s">
        <v>23</v>
      </c>
      <c r="C43" s="4" t="s">
        <v>16</v>
      </c>
      <c r="D43" s="4">
        <v>28</v>
      </c>
      <c r="E43" s="5">
        <v>44296</v>
      </c>
      <c r="F43" s="6">
        <v>53240</v>
      </c>
      <c r="G43" s="4" t="s">
        <v>21</v>
      </c>
      <c r="H43" s="4" t="s">
        <v>119</v>
      </c>
      <c r="I43" s="10">
        <f t="shared" ca="1" si="2"/>
        <v>4.5260273972602736</v>
      </c>
      <c r="J43" s="6">
        <f t="shared" ca="1" si="3"/>
        <v>1598</v>
      </c>
    </row>
    <row r="44" spans="1:10">
      <c r="A44" s="4" t="s">
        <v>161</v>
      </c>
      <c r="B44" s="4" t="s">
        <v>23</v>
      </c>
      <c r="C44" s="4" t="s">
        <v>25</v>
      </c>
      <c r="D44" s="4">
        <v>34</v>
      </c>
      <c r="E44" s="5">
        <v>44397</v>
      </c>
      <c r="F44" s="6">
        <v>85000</v>
      </c>
      <c r="G44" s="4" t="s">
        <v>21</v>
      </c>
      <c r="H44" s="4" t="s">
        <v>119</v>
      </c>
      <c r="I44" s="10">
        <f t="shared" ca="1" si="2"/>
        <v>4.2493150684931509</v>
      </c>
      <c r="J44" s="6">
        <f t="shared" ca="1" si="3"/>
        <v>2550</v>
      </c>
    </row>
    <row r="45" spans="1:10">
      <c r="A45" s="4" t="s">
        <v>162</v>
      </c>
      <c r="B45" s="4" t="s">
        <v>23</v>
      </c>
      <c r="C45" s="4" t="s">
        <v>31</v>
      </c>
      <c r="D45" s="4">
        <v>21</v>
      </c>
      <c r="E45" s="5">
        <v>44619</v>
      </c>
      <c r="F45" s="6">
        <v>33920</v>
      </c>
      <c r="G45" s="4" t="s">
        <v>21</v>
      </c>
      <c r="H45" s="4" t="s">
        <v>119</v>
      </c>
      <c r="I45" s="10">
        <f t="shared" ca="1" si="2"/>
        <v>3.6410958904109587</v>
      </c>
      <c r="J45" s="6">
        <f t="shared" ca="1" si="3"/>
        <v>1018</v>
      </c>
    </row>
    <row r="46" spans="1:10">
      <c r="A46" s="4" t="s">
        <v>163</v>
      </c>
      <c r="B46" s="4" t="s">
        <v>23</v>
      </c>
      <c r="C46" s="4" t="s">
        <v>31</v>
      </c>
      <c r="D46" s="4">
        <v>33</v>
      </c>
      <c r="E46" s="5">
        <v>44253</v>
      </c>
      <c r="F46" s="6">
        <v>75280</v>
      </c>
      <c r="G46" s="4" t="s">
        <v>21</v>
      </c>
      <c r="H46" s="4" t="s">
        <v>119</v>
      </c>
      <c r="I46" s="10">
        <f t="shared" ca="1" si="2"/>
        <v>4.6438356164383565</v>
      </c>
      <c r="J46" s="6">
        <f t="shared" ca="1" si="3"/>
        <v>2259</v>
      </c>
    </row>
    <row r="47" spans="1:10">
      <c r="A47" s="4" t="s">
        <v>164</v>
      </c>
      <c r="B47" s="4" t="s">
        <v>23</v>
      </c>
      <c r="C47" s="4" t="s">
        <v>25</v>
      </c>
      <c r="D47" s="4">
        <v>34</v>
      </c>
      <c r="E47" s="5">
        <v>44594</v>
      </c>
      <c r="F47" s="6">
        <v>58940</v>
      </c>
      <c r="G47" s="4" t="s">
        <v>21</v>
      </c>
      <c r="H47" s="4" t="s">
        <v>119</v>
      </c>
      <c r="I47" s="10">
        <f t="shared" ca="1" si="2"/>
        <v>3.7095890410958905</v>
      </c>
      <c r="J47" s="6">
        <f t="shared" ca="1" si="3"/>
        <v>1769</v>
      </c>
    </row>
    <row r="48" spans="1:10">
      <c r="A48" s="4" t="s">
        <v>165</v>
      </c>
      <c r="B48" s="4" t="s">
        <v>23</v>
      </c>
      <c r="C48" s="4" t="s">
        <v>20</v>
      </c>
      <c r="D48" s="4">
        <v>28</v>
      </c>
      <c r="E48" s="5">
        <v>44425</v>
      </c>
      <c r="F48" s="6">
        <v>104770</v>
      </c>
      <c r="G48" s="4" t="s">
        <v>21</v>
      </c>
      <c r="H48" s="4" t="s">
        <v>119</v>
      </c>
      <c r="I48" s="10">
        <f t="shared" ca="1" si="2"/>
        <v>4.1726027397260275</v>
      </c>
      <c r="J48" s="6">
        <f t="shared" ca="1" si="3"/>
        <v>3144</v>
      </c>
    </row>
    <row r="49" spans="1:10">
      <c r="A49" s="4" t="s">
        <v>166</v>
      </c>
      <c r="B49" s="4" t="s">
        <v>15</v>
      </c>
      <c r="C49" s="4" t="s">
        <v>20</v>
      </c>
      <c r="D49" s="4">
        <v>21</v>
      </c>
      <c r="E49" s="5">
        <v>44701</v>
      </c>
      <c r="F49" s="6">
        <v>57090</v>
      </c>
      <c r="G49" s="4" t="s">
        <v>21</v>
      </c>
      <c r="H49" s="4" t="s">
        <v>119</v>
      </c>
      <c r="I49" s="10">
        <f t="shared" ca="1" si="2"/>
        <v>3.4164383561643836</v>
      </c>
      <c r="J49" s="6">
        <f t="shared" ca="1" si="3"/>
        <v>1713</v>
      </c>
    </row>
    <row r="50" spans="1:10">
      <c r="A50" s="4" t="s">
        <v>167</v>
      </c>
      <c r="B50" s="4" t="s">
        <v>15</v>
      </c>
      <c r="C50" s="4" t="s">
        <v>25</v>
      </c>
      <c r="D50" s="4">
        <v>27</v>
      </c>
      <c r="E50" s="5">
        <v>44174</v>
      </c>
      <c r="F50" s="6">
        <v>91650</v>
      </c>
      <c r="G50" s="4" t="s">
        <v>17</v>
      </c>
      <c r="H50" s="4" t="s">
        <v>119</v>
      </c>
      <c r="I50" s="10">
        <f t="shared" ca="1" si="2"/>
        <v>4.86027397260274</v>
      </c>
      <c r="J50" s="6">
        <f t="shared" ca="1" si="3"/>
        <v>2750</v>
      </c>
    </row>
    <row r="51" spans="1:10">
      <c r="A51" s="4" t="s">
        <v>168</v>
      </c>
      <c r="B51" s="4" t="s">
        <v>15</v>
      </c>
      <c r="C51" s="4" t="s">
        <v>25</v>
      </c>
      <c r="D51" s="4">
        <v>42</v>
      </c>
      <c r="E51" s="5">
        <v>44670</v>
      </c>
      <c r="F51" s="6">
        <v>70270</v>
      </c>
      <c r="G51" s="4" t="s">
        <v>26</v>
      </c>
      <c r="H51" s="4" t="s">
        <v>119</v>
      </c>
      <c r="I51" s="10">
        <f t="shared" ca="1" si="2"/>
        <v>3.5013698630136987</v>
      </c>
      <c r="J51" s="6">
        <f t="shared" ca="1" si="3"/>
        <v>2109</v>
      </c>
    </row>
    <row r="52" spans="1:10">
      <c r="A52" s="4" t="s">
        <v>169</v>
      </c>
      <c r="B52" s="4" t="s">
        <v>23</v>
      </c>
      <c r="C52" s="4" t="s">
        <v>25</v>
      </c>
      <c r="D52" s="4">
        <v>28</v>
      </c>
      <c r="E52" s="5">
        <v>44124</v>
      </c>
      <c r="F52" s="6">
        <v>75970</v>
      </c>
      <c r="G52" s="4" t="s">
        <v>21</v>
      </c>
      <c r="H52" s="4" t="s">
        <v>119</v>
      </c>
      <c r="I52" s="10">
        <f t="shared" ca="1" si="2"/>
        <v>4.9972602739726026</v>
      </c>
      <c r="J52" s="6">
        <f t="shared" ca="1" si="3"/>
        <v>2280</v>
      </c>
    </row>
    <row r="53" spans="1:10">
      <c r="A53" s="4" t="s">
        <v>170</v>
      </c>
      <c r="B53" s="4" t="s">
        <v>215</v>
      </c>
      <c r="C53" s="4" t="s">
        <v>31</v>
      </c>
      <c r="D53" s="4">
        <v>27</v>
      </c>
      <c r="E53" s="5">
        <v>44212</v>
      </c>
      <c r="F53" s="6">
        <v>90700</v>
      </c>
      <c r="G53" s="4" t="s">
        <v>17</v>
      </c>
      <c r="H53" s="4" t="s">
        <v>119</v>
      </c>
      <c r="I53" s="10">
        <f t="shared" ca="1" si="2"/>
        <v>4.7561643835616438</v>
      </c>
      <c r="J53" s="6">
        <f t="shared" ca="1" si="3"/>
        <v>2721</v>
      </c>
    </row>
    <row r="54" spans="1:10">
      <c r="A54" s="4" t="s">
        <v>171</v>
      </c>
      <c r="B54" s="4" t="s">
        <v>15</v>
      </c>
      <c r="C54" s="4" t="s">
        <v>20</v>
      </c>
      <c r="D54" s="4">
        <v>30</v>
      </c>
      <c r="E54" s="5">
        <v>44607</v>
      </c>
      <c r="F54" s="6">
        <v>60570</v>
      </c>
      <c r="G54" s="4" t="s">
        <v>21</v>
      </c>
      <c r="H54" s="4" t="s">
        <v>119</v>
      </c>
      <c r="I54" s="10">
        <f t="shared" ca="1" si="2"/>
        <v>3.6739726027397261</v>
      </c>
      <c r="J54" s="6">
        <f t="shared" ca="1" si="3"/>
        <v>1818</v>
      </c>
    </row>
    <row r="55" spans="1:10">
      <c r="A55" s="4" t="s">
        <v>172</v>
      </c>
      <c r="B55" s="4" t="s">
        <v>15</v>
      </c>
      <c r="C55" s="4" t="s">
        <v>20</v>
      </c>
      <c r="D55" s="4">
        <v>33</v>
      </c>
      <c r="E55" s="5">
        <v>44103</v>
      </c>
      <c r="F55" s="6">
        <v>115920</v>
      </c>
      <c r="G55" s="4" t="s">
        <v>21</v>
      </c>
      <c r="H55" s="4" t="s">
        <v>119</v>
      </c>
      <c r="I55" s="10">
        <f t="shared" ca="1" si="2"/>
        <v>5.0547945205479454</v>
      </c>
      <c r="J55" s="6">
        <f t="shared" ca="1" si="3"/>
        <v>3478</v>
      </c>
    </row>
    <row r="56" spans="1:10">
      <c r="A56" s="4" t="s">
        <v>173</v>
      </c>
      <c r="B56" s="4" t="s">
        <v>23</v>
      </c>
      <c r="C56" s="4" t="s">
        <v>25</v>
      </c>
      <c r="D56" s="4">
        <v>33</v>
      </c>
      <c r="E56" s="5">
        <v>44006</v>
      </c>
      <c r="F56" s="6">
        <v>65360</v>
      </c>
      <c r="G56" s="4" t="s">
        <v>21</v>
      </c>
      <c r="H56" s="4" t="s">
        <v>119</v>
      </c>
      <c r="I56" s="10">
        <f t="shared" ca="1" si="2"/>
        <v>5.3205479452054796</v>
      </c>
      <c r="J56" s="6">
        <f t="shared" ca="1" si="3"/>
        <v>1961</v>
      </c>
    </row>
    <row r="57" spans="1:10">
      <c r="A57" s="4" t="s">
        <v>174</v>
      </c>
      <c r="B57" s="4" t="s">
        <v>215</v>
      </c>
      <c r="C57" s="4" t="s">
        <v>25</v>
      </c>
      <c r="D57" s="4">
        <v>30</v>
      </c>
      <c r="E57" s="5">
        <v>44535</v>
      </c>
      <c r="F57" s="6">
        <v>64000</v>
      </c>
      <c r="G57" s="4" t="s">
        <v>21</v>
      </c>
      <c r="H57" s="4" t="s">
        <v>119</v>
      </c>
      <c r="I57" s="10">
        <f t="shared" ca="1" si="2"/>
        <v>3.871232876712329</v>
      </c>
      <c r="J57" s="6">
        <f t="shared" ca="1" si="3"/>
        <v>1920</v>
      </c>
    </row>
    <row r="58" spans="1:10">
      <c r="A58" s="4" t="s">
        <v>175</v>
      </c>
      <c r="B58" s="4" t="s">
        <v>23</v>
      </c>
      <c r="C58" s="4" t="s">
        <v>25</v>
      </c>
      <c r="D58" s="4">
        <v>34</v>
      </c>
      <c r="E58" s="5">
        <v>44383</v>
      </c>
      <c r="F58" s="6">
        <v>92450</v>
      </c>
      <c r="G58" s="4" t="s">
        <v>21</v>
      </c>
      <c r="H58" s="4" t="s">
        <v>119</v>
      </c>
      <c r="I58" s="10">
        <f t="shared" ca="1" si="2"/>
        <v>4.2876712328767121</v>
      </c>
      <c r="J58" s="6">
        <f t="shared" ca="1" si="3"/>
        <v>2774</v>
      </c>
    </row>
    <row r="59" spans="1:10">
      <c r="A59" s="4" t="s">
        <v>176</v>
      </c>
      <c r="B59" s="4" t="s">
        <v>15</v>
      </c>
      <c r="C59" s="4" t="s">
        <v>31</v>
      </c>
      <c r="D59" s="4">
        <v>31</v>
      </c>
      <c r="E59" s="5">
        <v>44450</v>
      </c>
      <c r="F59" s="6">
        <v>48950</v>
      </c>
      <c r="G59" s="4" t="s">
        <v>21</v>
      </c>
      <c r="H59" s="4" t="s">
        <v>119</v>
      </c>
      <c r="I59" s="10">
        <f t="shared" ca="1" si="2"/>
        <v>4.1041095890410961</v>
      </c>
      <c r="J59" s="6">
        <f t="shared" ca="1" si="3"/>
        <v>1469</v>
      </c>
    </row>
    <row r="60" spans="1:10">
      <c r="A60" s="4" t="s">
        <v>177</v>
      </c>
      <c r="B60" s="4" t="s">
        <v>23</v>
      </c>
      <c r="C60" s="4" t="s">
        <v>31</v>
      </c>
      <c r="D60" s="4">
        <v>27</v>
      </c>
      <c r="E60" s="5">
        <v>44625</v>
      </c>
      <c r="F60" s="6">
        <v>83750</v>
      </c>
      <c r="G60" s="4" t="s">
        <v>21</v>
      </c>
      <c r="H60" s="4" t="s">
        <v>119</v>
      </c>
      <c r="I60" s="10">
        <f t="shared" ca="1" si="2"/>
        <v>3.6246575342465754</v>
      </c>
      <c r="J60" s="6">
        <f t="shared" ca="1" si="3"/>
        <v>2513</v>
      </c>
    </row>
    <row r="61" spans="1:10">
      <c r="A61" s="4" t="s">
        <v>178</v>
      </c>
      <c r="B61" s="4" t="s">
        <v>23</v>
      </c>
      <c r="C61" s="4" t="s">
        <v>31</v>
      </c>
      <c r="D61" s="4">
        <v>40</v>
      </c>
      <c r="E61" s="5">
        <v>44276</v>
      </c>
      <c r="F61" s="6">
        <v>87620</v>
      </c>
      <c r="G61" s="4" t="s">
        <v>21</v>
      </c>
      <c r="H61" s="4" t="s">
        <v>119</v>
      </c>
      <c r="I61" s="10">
        <f t="shared" ca="1" si="2"/>
        <v>4.580821917808219</v>
      </c>
      <c r="J61" s="6">
        <f t="shared" ca="1" si="3"/>
        <v>2629</v>
      </c>
    </row>
    <row r="62" spans="1:10">
      <c r="A62" s="4" t="s">
        <v>179</v>
      </c>
      <c r="B62" s="4" t="s">
        <v>23</v>
      </c>
      <c r="C62" s="4" t="s">
        <v>16</v>
      </c>
      <c r="D62" s="4">
        <v>20</v>
      </c>
      <c r="E62" s="5">
        <v>44476</v>
      </c>
      <c r="F62" s="6">
        <v>68900</v>
      </c>
      <c r="G62" s="4" t="s">
        <v>26</v>
      </c>
      <c r="H62" s="4" t="s">
        <v>119</v>
      </c>
      <c r="I62" s="10">
        <f t="shared" ca="1" si="2"/>
        <v>4.0328767123287674</v>
      </c>
      <c r="J62" s="6">
        <f t="shared" ca="1" si="3"/>
        <v>2067</v>
      </c>
    </row>
    <row r="63" spans="1:10">
      <c r="A63" s="4" t="s">
        <v>180</v>
      </c>
      <c r="B63" s="4" t="s">
        <v>15</v>
      </c>
      <c r="C63" s="4" t="s">
        <v>16</v>
      </c>
      <c r="D63" s="4">
        <v>32</v>
      </c>
      <c r="E63" s="5">
        <v>44403</v>
      </c>
      <c r="F63" s="6">
        <v>53540</v>
      </c>
      <c r="G63" s="4" t="s">
        <v>21</v>
      </c>
      <c r="H63" s="4" t="s">
        <v>119</v>
      </c>
      <c r="I63" s="10">
        <f t="shared" ca="1" si="2"/>
        <v>4.2328767123287667</v>
      </c>
      <c r="J63" s="6">
        <f t="shared" ca="1" si="3"/>
        <v>1607</v>
      </c>
    </row>
    <row r="64" spans="1:10">
      <c r="A64" s="4" t="s">
        <v>181</v>
      </c>
      <c r="B64" s="4" t="s">
        <v>15</v>
      </c>
      <c r="C64" s="4" t="s">
        <v>16</v>
      </c>
      <c r="D64" s="4">
        <v>28</v>
      </c>
      <c r="E64" s="5">
        <v>44758</v>
      </c>
      <c r="F64" s="6">
        <v>43510</v>
      </c>
      <c r="G64" s="4" t="s">
        <v>57</v>
      </c>
      <c r="H64" s="4" t="s">
        <v>119</v>
      </c>
      <c r="I64" s="10">
        <f t="shared" ca="1" si="2"/>
        <v>3.2602739726027399</v>
      </c>
      <c r="J64" s="6">
        <f t="shared" ca="1" si="3"/>
        <v>1306</v>
      </c>
    </row>
    <row r="65" spans="1:10">
      <c r="A65" s="4" t="s">
        <v>182</v>
      </c>
      <c r="B65" s="4" t="s">
        <v>23</v>
      </c>
      <c r="C65" s="4" t="s">
        <v>16</v>
      </c>
      <c r="D65" s="4">
        <v>38</v>
      </c>
      <c r="E65" s="5">
        <v>44316</v>
      </c>
      <c r="F65" s="6">
        <v>109160</v>
      </c>
      <c r="G65" s="4" t="s">
        <v>51</v>
      </c>
      <c r="H65" s="4" t="s">
        <v>119</v>
      </c>
      <c r="I65" s="10">
        <f t="shared" ca="1" si="2"/>
        <v>4.4712328767123291</v>
      </c>
      <c r="J65" s="6">
        <f t="shared" ca="1" si="3"/>
        <v>3275</v>
      </c>
    </row>
    <row r="66" spans="1:10">
      <c r="A66" s="4" t="s">
        <v>183</v>
      </c>
      <c r="B66" s="4" t="s">
        <v>15</v>
      </c>
      <c r="C66" s="4" t="s">
        <v>20</v>
      </c>
      <c r="D66" s="4">
        <v>40</v>
      </c>
      <c r="E66" s="5">
        <v>44204</v>
      </c>
      <c r="F66" s="6">
        <v>99750</v>
      </c>
      <c r="G66" s="4" t="s">
        <v>21</v>
      </c>
      <c r="H66" s="4" t="s">
        <v>119</v>
      </c>
      <c r="I66" s="10">
        <f t="shared" ca="1" si="2"/>
        <v>4.7780821917808218</v>
      </c>
      <c r="J66" s="6">
        <f t="shared" ca="1" si="3"/>
        <v>2993</v>
      </c>
    </row>
    <row r="67" spans="1:10">
      <c r="A67" s="4" t="s">
        <v>184</v>
      </c>
      <c r="B67" s="4" t="s">
        <v>23</v>
      </c>
      <c r="C67" s="4" t="s">
        <v>31</v>
      </c>
      <c r="D67" s="4">
        <v>31</v>
      </c>
      <c r="E67" s="5">
        <v>44084</v>
      </c>
      <c r="F67" s="6">
        <v>41980</v>
      </c>
      <c r="G67" s="4" t="s">
        <v>21</v>
      </c>
      <c r="H67" s="4" t="s">
        <v>119</v>
      </c>
      <c r="I67" s="10">
        <f t="shared" ref="I67:I98" ca="1" si="4">(TODAY()-E67)/365</f>
        <v>5.1068493150684935</v>
      </c>
      <c r="J67" s="6">
        <f t="shared" ref="J67:J98" ca="1" si="5">ROUNDUP(IF(I67&gt;3,3%,2%)*F67,0)</f>
        <v>1260</v>
      </c>
    </row>
    <row r="68" spans="1:10">
      <c r="A68" s="4" t="s">
        <v>185</v>
      </c>
      <c r="B68" s="4" t="s">
        <v>15</v>
      </c>
      <c r="C68" s="4" t="s">
        <v>25</v>
      </c>
      <c r="D68" s="4">
        <v>36</v>
      </c>
      <c r="E68" s="5">
        <v>44272</v>
      </c>
      <c r="F68" s="6">
        <v>71380</v>
      </c>
      <c r="G68" s="4" t="s">
        <v>21</v>
      </c>
      <c r="H68" s="4" t="s">
        <v>119</v>
      </c>
      <c r="I68" s="10">
        <f t="shared" ca="1" si="4"/>
        <v>4.5917808219178085</v>
      </c>
      <c r="J68" s="6">
        <f t="shared" ca="1" si="5"/>
        <v>2142</v>
      </c>
    </row>
    <row r="69" spans="1:10">
      <c r="A69" s="4" t="s">
        <v>186</v>
      </c>
      <c r="B69" s="4" t="s">
        <v>15</v>
      </c>
      <c r="C69" s="4" t="s">
        <v>20</v>
      </c>
      <c r="D69" s="4">
        <v>27</v>
      </c>
      <c r="E69" s="5">
        <v>44547</v>
      </c>
      <c r="F69" s="6">
        <v>113280</v>
      </c>
      <c r="G69" s="4" t="s">
        <v>57</v>
      </c>
      <c r="H69" s="4" t="s">
        <v>119</v>
      </c>
      <c r="I69" s="10">
        <f t="shared" ca="1" si="4"/>
        <v>3.8383561643835615</v>
      </c>
      <c r="J69" s="6">
        <f t="shared" ca="1" si="5"/>
        <v>3399</v>
      </c>
    </row>
    <row r="70" spans="1:10">
      <c r="A70" s="4" t="s">
        <v>187</v>
      </c>
      <c r="B70" s="4" t="s">
        <v>23</v>
      </c>
      <c r="C70" s="4" t="s">
        <v>25</v>
      </c>
      <c r="D70" s="4">
        <v>33</v>
      </c>
      <c r="E70" s="5">
        <v>44747</v>
      </c>
      <c r="F70" s="6">
        <v>86570</v>
      </c>
      <c r="G70" s="4" t="s">
        <v>21</v>
      </c>
      <c r="H70" s="4" t="s">
        <v>119</v>
      </c>
      <c r="I70" s="10">
        <f t="shared" ca="1" si="4"/>
        <v>3.2904109589041095</v>
      </c>
      <c r="J70" s="6">
        <f t="shared" ca="1" si="5"/>
        <v>2598</v>
      </c>
    </row>
    <row r="71" spans="1:10">
      <c r="A71" s="4" t="s">
        <v>188</v>
      </c>
      <c r="B71" s="4" t="s">
        <v>15</v>
      </c>
      <c r="C71" s="4" t="s">
        <v>20</v>
      </c>
      <c r="D71" s="4">
        <v>26</v>
      </c>
      <c r="E71" s="5">
        <v>44350</v>
      </c>
      <c r="F71" s="6">
        <v>53540</v>
      </c>
      <c r="G71" s="4" t="s">
        <v>21</v>
      </c>
      <c r="H71" s="4" t="s">
        <v>119</v>
      </c>
      <c r="I71" s="10">
        <f t="shared" ca="1" si="4"/>
        <v>4.3780821917808215</v>
      </c>
      <c r="J71" s="6">
        <f t="shared" ca="1" si="5"/>
        <v>1607</v>
      </c>
    </row>
    <row r="72" spans="1:10">
      <c r="A72" s="4" t="s">
        <v>189</v>
      </c>
      <c r="B72" s="4" t="s">
        <v>15</v>
      </c>
      <c r="C72" s="4" t="s">
        <v>31</v>
      </c>
      <c r="D72" s="4">
        <v>37</v>
      </c>
      <c r="E72" s="5">
        <v>44640</v>
      </c>
      <c r="F72" s="6">
        <v>69070</v>
      </c>
      <c r="G72" s="4" t="s">
        <v>21</v>
      </c>
      <c r="H72" s="4" t="s">
        <v>119</v>
      </c>
      <c r="I72" s="10">
        <f t="shared" ca="1" si="4"/>
        <v>3.5835616438356164</v>
      </c>
      <c r="J72" s="6">
        <f t="shared" ca="1" si="5"/>
        <v>2073</v>
      </c>
    </row>
    <row r="73" spans="1:10">
      <c r="A73" s="4" t="s">
        <v>190</v>
      </c>
      <c r="B73" s="4" t="s">
        <v>23</v>
      </c>
      <c r="C73" s="4" t="s">
        <v>25</v>
      </c>
      <c r="D73" s="4">
        <v>30</v>
      </c>
      <c r="E73" s="5">
        <v>44328</v>
      </c>
      <c r="F73" s="6">
        <v>67910</v>
      </c>
      <c r="G73" s="4" t="s">
        <v>26</v>
      </c>
      <c r="H73" s="4" t="s">
        <v>119</v>
      </c>
      <c r="I73" s="10">
        <f t="shared" ca="1" si="4"/>
        <v>4.4383561643835616</v>
      </c>
      <c r="J73" s="6">
        <f t="shared" ca="1" si="5"/>
        <v>2038</v>
      </c>
    </row>
    <row r="74" spans="1:10">
      <c r="A74" s="4" t="s">
        <v>191</v>
      </c>
      <c r="B74" s="4" t="s">
        <v>15</v>
      </c>
      <c r="C74" s="4" t="s">
        <v>31</v>
      </c>
      <c r="D74" s="4">
        <v>30</v>
      </c>
      <c r="E74" s="5">
        <v>44214</v>
      </c>
      <c r="F74" s="6">
        <v>69120</v>
      </c>
      <c r="G74" s="4" t="s">
        <v>21</v>
      </c>
      <c r="H74" s="4" t="s">
        <v>119</v>
      </c>
      <c r="I74" s="10">
        <f t="shared" ca="1" si="4"/>
        <v>4.7506849315068491</v>
      </c>
      <c r="J74" s="6">
        <f t="shared" ca="1" si="5"/>
        <v>2074</v>
      </c>
    </row>
    <row r="75" spans="1:10">
      <c r="A75" s="4" t="s">
        <v>192</v>
      </c>
      <c r="B75" s="4" t="s">
        <v>23</v>
      </c>
      <c r="C75" s="4" t="s">
        <v>25</v>
      </c>
      <c r="D75" s="4">
        <v>34</v>
      </c>
      <c r="E75" s="5">
        <v>44550</v>
      </c>
      <c r="F75" s="6">
        <v>60130</v>
      </c>
      <c r="G75" s="4" t="s">
        <v>21</v>
      </c>
      <c r="H75" s="4" t="s">
        <v>119</v>
      </c>
      <c r="I75" s="10">
        <f t="shared" ca="1" si="4"/>
        <v>3.8301369863013699</v>
      </c>
      <c r="J75" s="6">
        <f t="shared" ca="1" si="5"/>
        <v>1804</v>
      </c>
    </row>
    <row r="76" spans="1:10">
      <c r="A76" s="4" t="s">
        <v>193</v>
      </c>
      <c r="B76" s="4" t="s">
        <v>15</v>
      </c>
      <c r="C76" s="4" t="s">
        <v>20</v>
      </c>
      <c r="D76" s="4">
        <v>23</v>
      </c>
      <c r="E76" s="5">
        <v>44378</v>
      </c>
      <c r="F76" s="6">
        <v>106460</v>
      </c>
      <c r="G76" s="4" t="s">
        <v>21</v>
      </c>
      <c r="H76" s="4" t="s">
        <v>119</v>
      </c>
      <c r="I76" s="10">
        <f t="shared" ca="1" si="4"/>
        <v>4.3013698630136989</v>
      </c>
      <c r="J76" s="6">
        <f t="shared" ca="1" si="5"/>
        <v>3194</v>
      </c>
    </row>
    <row r="77" spans="1:10">
      <c r="A77" s="4" t="s">
        <v>194</v>
      </c>
      <c r="B77" s="4" t="s">
        <v>23</v>
      </c>
      <c r="C77" s="4" t="s">
        <v>34</v>
      </c>
      <c r="D77" s="4">
        <v>37</v>
      </c>
      <c r="E77" s="5">
        <v>44389</v>
      </c>
      <c r="F77" s="6">
        <v>118100</v>
      </c>
      <c r="G77" s="4" t="s">
        <v>21</v>
      </c>
      <c r="H77" s="4" t="s">
        <v>119</v>
      </c>
      <c r="I77" s="10">
        <f t="shared" ca="1" si="4"/>
        <v>4.2712328767123289</v>
      </c>
      <c r="J77" s="6">
        <f t="shared" ca="1" si="5"/>
        <v>3543</v>
      </c>
    </row>
    <row r="78" spans="1:10">
      <c r="A78" s="4" t="s">
        <v>195</v>
      </c>
      <c r="B78" s="4" t="s">
        <v>23</v>
      </c>
      <c r="C78" s="4" t="s">
        <v>20</v>
      </c>
      <c r="D78" s="4">
        <v>36</v>
      </c>
      <c r="E78" s="5">
        <v>44468</v>
      </c>
      <c r="F78" s="6">
        <v>78390</v>
      </c>
      <c r="G78" s="4" t="s">
        <v>21</v>
      </c>
      <c r="H78" s="4" t="s">
        <v>119</v>
      </c>
      <c r="I78" s="10">
        <f t="shared" ca="1" si="4"/>
        <v>4.0547945205479454</v>
      </c>
      <c r="J78" s="6">
        <f t="shared" ca="1" si="5"/>
        <v>2352</v>
      </c>
    </row>
    <row r="79" spans="1:10">
      <c r="A79" s="4" t="s">
        <v>196</v>
      </c>
      <c r="B79" s="4" t="s">
        <v>23</v>
      </c>
      <c r="C79" s="4" t="s">
        <v>20</v>
      </c>
      <c r="D79" s="4">
        <v>30</v>
      </c>
      <c r="E79" s="5">
        <v>44789</v>
      </c>
      <c r="F79" s="6">
        <v>114180</v>
      </c>
      <c r="G79" s="4" t="s">
        <v>21</v>
      </c>
      <c r="H79" s="4" t="s">
        <v>119</v>
      </c>
      <c r="I79" s="10">
        <f t="shared" ca="1" si="4"/>
        <v>3.1753424657534248</v>
      </c>
      <c r="J79" s="6">
        <f t="shared" ca="1" si="5"/>
        <v>3426</v>
      </c>
    </row>
    <row r="80" spans="1:10">
      <c r="A80" s="4" t="s">
        <v>197</v>
      </c>
      <c r="B80" s="4" t="s">
        <v>23</v>
      </c>
      <c r="C80" s="4" t="s">
        <v>20</v>
      </c>
      <c r="D80" s="4">
        <v>28</v>
      </c>
      <c r="E80" s="5">
        <v>44590</v>
      </c>
      <c r="F80" s="6">
        <v>104120</v>
      </c>
      <c r="G80" s="4" t="s">
        <v>21</v>
      </c>
      <c r="H80" s="4" t="s">
        <v>119</v>
      </c>
      <c r="I80" s="10">
        <f t="shared" ca="1" si="4"/>
        <v>3.7205479452054795</v>
      </c>
      <c r="J80" s="6">
        <f t="shared" ca="1" si="5"/>
        <v>3124</v>
      </c>
    </row>
    <row r="81" spans="1:10">
      <c r="A81" s="4" t="s">
        <v>198</v>
      </c>
      <c r="B81" s="4" t="s">
        <v>15</v>
      </c>
      <c r="C81" s="4" t="s">
        <v>20</v>
      </c>
      <c r="D81" s="4">
        <v>30</v>
      </c>
      <c r="E81" s="5">
        <v>44640</v>
      </c>
      <c r="F81" s="6">
        <v>67950</v>
      </c>
      <c r="G81" s="4" t="s">
        <v>21</v>
      </c>
      <c r="H81" s="4" t="s">
        <v>119</v>
      </c>
      <c r="I81" s="10">
        <f t="shared" ca="1" si="4"/>
        <v>3.5835616438356164</v>
      </c>
      <c r="J81" s="6">
        <f t="shared" ca="1" si="5"/>
        <v>2039</v>
      </c>
    </row>
    <row r="82" spans="1:10">
      <c r="A82" s="4" t="s">
        <v>199</v>
      </c>
      <c r="B82" s="4" t="s">
        <v>23</v>
      </c>
      <c r="C82" s="4" t="s">
        <v>31</v>
      </c>
      <c r="D82" s="4">
        <v>29</v>
      </c>
      <c r="E82" s="5">
        <v>43962</v>
      </c>
      <c r="F82" s="6">
        <v>34980</v>
      </c>
      <c r="G82" s="4" t="s">
        <v>21</v>
      </c>
      <c r="H82" s="4" t="s">
        <v>119</v>
      </c>
      <c r="I82" s="10">
        <f t="shared" ca="1" si="4"/>
        <v>5.441095890410959</v>
      </c>
      <c r="J82" s="6">
        <f t="shared" ca="1" si="5"/>
        <v>1050</v>
      </c>
    </row>
    <row r="83" spans="1:10">
      <c r="A83" s="4" t="s">
        <v>200</v>
      </c>
      <c r="B83" s="4" t="s">
        <v>23</v>
      </c>
      <c r="C83" s="4" t="s">
        <v>31</v>
      </c>
      <c r="D83" s="4">
        <v>24</v>
      </c>
      <c r="E83" s="5">
        <v>44087</v>
      </c>
      <c r="F83" s="6">
        <v>62780</v>
      </c>
      <c r="G83" s="4" t="s">
        <v>21</v>
      </c>
      <c r="H83" s="4" t="s">
        <v>119</v>
      </c>
      <c r="I83" s="10">
        <f t="shared" ca="1" si="4"/>
        <v>5.0986301369863014</v>
      </c>
      <c r="J83" s="6">
        <f t="shared" ca="1" si="5"/>
        <v>1884</v>
      </c>
    </row>
    <row r="84" spans="1:10">
      <c r="A84" s="4" t="s">
        <v>201</v>
      </c>
      <c r="B84" s="4" t="s">
        <v>15</v>
      </c>
      <c r="C84" s="4" t="s">
        <v>31</v>
      </c>
      <c r="D84" s="4">
        <v>20</v>
      </c>
      <c r="E84" s="5">
        <v>44397</v>
      </c>
      <c r="F84" s="6">
        <v>107700</v>
      </c>
      <c r="G84" s="4" t="s">
        <v>21</v>
      </c>
      <c r="H84" s="4" t="s">
        <v>119</v>
      </c>
      <c r="I84" s="10">
        <f t="shared" ca="1" si="4"/>
        <v>4.2493150684931509</v>
      </c>
      <c r="J84" s="6">
        <f t="shared" ca="1" si="5"/>
        <v>3231</v>
      </c>
    </row>
    <row r="85" spans="1:10">
      <c r="A85" s="4" t="s">
        <v>202</v>
      </c>
      <c r="B85" s="4" t="s">
        <v>15</v>
      </c>
      <c r="C85" s="4" t="s">
        <v>16</v>
      </c>
      <c r="D85" s="4">
        <v>25</v>
      </c>
      <c r="E85" s="5">
        <v>44322</v>
      </c>
      <c r="F85" s="6">
        <v>65700</v>
      </c>
      <c r="G85" s="4" t="s">
        <v>21</v>
      </c>
      <c r="H85" s="4" t="s">
        <v>119</v>
      </c>
      <c r="I85" s="10">
        <f t="shared" ca="1" si="4"/>
        <v>4.4547945205479449</v>
      </c>
      <c r="J85" s="6">
        <f t="shared" ca="1" si="5"/>
        <v>1971</v>
      </c>
    </row>
    <row r="86" spans="1:10">
      <c r="A86" s="4" t="s">
        <v>203</v>
      </c>
      <c r="B86" s="4" t="s">
        <v>23</v>
      </c>
      <c r="C86" s="4" t="s">
        <v>31</v>
      </c>
      <c r="D86" s="4">
        <v>33</v>
      </c>
      <c r="E86" s="5">
        <v>44313</v>
      </c>
      <c r="F86" s="6">
        <v>75480</v>
      </c>
      <c r="G86" s="4" t="s">
        <v>57</v>
      </c>
      <c r="H86" s="4" t="s">
        <v>119</v>
      </c>
      <c r="I86" s="10">
        <f t="shared" ca="1" si="4"/>
        <v>4.4794520547945202</v>
      </c>
      <c r="J86" s="6">
        <f t="shared" ca="1" si="5"/>
        <v>2265</v>
      </c>
    </row>
    <row r="87" spans="1:10">
      <c r="A87" s="4" t="s">
        <v>204</v>
      </c>
      <c r="B87" s="4" t="s">
        <v>15</v>
      </c>
      <c r="C87" s="4" t="s">
        <v>31</v>
      </c>
      <c r="D87" s="4">
        <v>33</v>
      </c>
      <c r="E87" s="5">
        <v>44448</v>
      </c>
      <c r="F87" s="6">
        <v>53870</v>
      </c>
      <c r="G87" s="4" t="s">
        <v>21</v>
      </c>
      <c r="H87" s="4" t="s">
        <v>119</v>
      </c>
      <c r="I87" s="10">
        <f t="shared" ca="1" si="4"/>
        <v>4.1095890410958908</v>
      </c>
      <c r="J87" s="6">
        <f t="shared" ca="1" si="5"/>
        <v>1617</v>
      </c>
    </row>
    <row r="88" spans="1:10">
      <c r="A88" s="4" t="s">
        <v>205</v>
      </c>
      <c r="B88" s="4" t="s">
        <v>23</v>
      </c>
      <c r="C88" s="4" t="s">
        <v>16</v>
      </c>
      <c r="D88" s="4">
        <v>36</v>
      </c>
      <c r="E88" s="5">
        <v>44433</v>
      </c>
      <c r="F88" s="6">
        <v>78540</v>
      </c>
      <c r="G88" s="4" t="s">
        <v>21</v>
      </c>
      <c r="H88" s="4" t="s">
        <v>119</v>
      </c>
      <c r="I88" s="10">
        <f t="shared" ca="1" si="4"/>
        <v>4.1506849315068495</v>
      </c>
      <c r="J88" s="6">
        <f t="shared" ca="1" si="5"/>
        <v>2357</v>
      </c>
    </row>
    <row r="89" spans="1:10">
      <c r="A89" s="4" t="s">
        <v>206</v>
      </c>
      <c r="B89" s="4" t="s">
        <v>15</v>
      </c>
      <c r="C89" s="4" t="s">
        <v>20</v>
      </c>
      <c r="D89" s="4">
        <v>19</v>
      </c>
      <c r="E89" s="5">
        <v>44218</v>
      </c>
      <c r="F89" s="6">
        <v>58960</v>
      </c>
      <c r="G89" s="4" t="s">
        <v>21</v>
      </c>
      <c r="H89" s="4" t="s">
        <v>119</v>
      </c>
      <c r="I89" s="10">
        <f t="shared" ca="1" si="4"/>
        <v>4.7397260273972606</v>
      </c>
      <c r="J89" s="6">
        <f t="shared" ca="1" si="5"/>
        <v>1769</v>
      </c>
    </row>
    <row r="90" spans="1:10">
      <c r="A90" s="4" t="s">
        <v>207</v>
      </c>
      <c r="B90" s="4" t="s">
        <v>15</v>
      </c>
      <c r="C90" s="4" t="s">
        <v>20</v>
      </c>
      <c r="D90" s="4">
        <v>46</v>
      </c>
      <c r="E90" s="5">
        <v>44697</v>
      </c>
      <c r="F90" s="6">
        <v>70610</v>
      </c>
      <c r="G90" s="4" t="s">
        <v>21</v>
      </c>
      <c r="H90" s="4" t="s">
        <v>119</v>
      </c>
      <c r="I90" s="10">
        <f t="shared" ca="1" si="4"/>
        <v>3.4273972602739726</v>
      </c>
      <c r="J90" s="6">
        <f t="shared" ca="1" si="5"/>
        <v>2119</v>
      </c>
    </row>
    <row r="91" spans="1:10">
      <c r="A91" s="4" t="s">
        <v>208</v>
      </c>
      <c r="B91" s="4" t="s">
        <v>15</v>
      </c>
      <c r="C91" s="4" t="s">
        <v>25</v>
      </c>
      <c r="D91" s="4">
        <v>33</v>
      </c>
      <c r="E91" s="5">
        <v>44181</v>
      </c>
      <c r="F91" s="6">
        <v>59430</v>
      </c>
      <c r="G91" s="4" t="s">
        <v>21</v>
      </c>
      <c r="H91" s="4" t="s">
        <v>119</v>
      </c>
      <c r="I91" s="10">
        <f t="shared" ca="1" si="4"/>
        <v>4.8410958904109593</v>
      </c>
      <c r="J91" s="6">
        <f t="shared" ca="1" si="5"/>
        <v>1783</v>
      </c>
    </row>
    <row r="92" spans="1:10">
      <c r="A92" s="4" t="s">
        <v>209</v>
      </c>
      <c r="B92" s="4" t="s">
        <v>15</v>
      </c>
      <c r="C92" s="4" t="s">
        <v>20</v>
      </c>
      <c r="D92" s="4">
        <v>33</v>
      </c>
      <c r="E92" s="5">
        <v>44640</v>
      </c>
      <c r="F92" s="6">
        <v>48530</v>
      </c>
      <c r="G92" s="4" t="s">
        <v>17</v>
      </c>
      <c r="H92" s="4" t="s">
        <v>119</v>
      </c>
      <c r="I92" s="10">
        <f t="shared" ca="1" si="4"/>
        <v>3.5835616438356164</v>
      </c>
      <c r="J92" s="6">
        <f t="shared" ca="1" si="5"/>
        <v>1456</v>
      </c>
    </row>
    <row r="93" spans="1:10">
      <c r="A93" s="4" t="s">
        <v>210</v>
      </c>
      <c r="B93" s="4" t="s">
        <v>23</v>
      </c>
      <c r="C93" s="4" t="s">
        <v>31</v>
      </c>
      <c r="D93" s="4">
        <v>33</v>
      </c>
      <c r="E93" s="5">
        <v>44129</v>
      </c>
      <c r="F93" s="6">
        <v>96140</v>
      </c>
      <c r="G93" s="4" t="s">
        <v>21</v>
      </c>
      <c r="H93" s="4" t="s">
        <v>119</v>
      </c>
      <c r="I93" s="10">
        <f t="shared" ca="1" si="4"/>
        <v>4.9835616438356167</v>
      </c>
      <c r="J93" s="6">
        <f t="shared" ca="1" si="5"/>
        <v>2885</v>
      </c>
    </row>
    <row r="94" spans="1:10">
      <c r="A94" s="4" t="s">
        <v>14</v>
      </c>
      <c r="B94" s="4" t="s">
        <v>15</v>
      </c>
      <c r="C94" s="4" t="s">
        <v>16</v>
      </c>
      <c r="D94" s="4">
        <v>22</v>
      </c>
      <c r="E94" s="5">
        <v>44446</v>
      </c>
      <c r="F94" s="6">
        <v>112780</v>
      </c>
      <c r="G94" s="4" t="s">
        <v>17</v>
      </c>
      <c r="H94" s="4" t="s">
        <v>18</v>
      </c>
      <c r="I94" s="10">
        <f t="shared" ca="1" si="4"/>
        <v>4.1150684931506847</v>
      </c>
      <c r="J94" s="6">
        <f t="shared" ca="1" si="5"/>
        <v>3384</v>
      </c>
    </row>
    <row r="95" spans="1:10">
      <c r="A95" s="4" t="s">
        <v>19</v>
      </c>
      <c r="B95" s="4" t="s">
        <v>15</v>
      </c>
      <c r="C95" s="4" t="s">
        <v>20</v>
      </c>
      <c r="D95" s="4">
        <v>46</v>
      </c>
      <c r="E95" s="5">
        <v>44758</v>
      </c>
      <c r="F95" s="6">
        <v>70610</v>
      </c>
      <c r="G95" s="4" t="s">
        <v>21</v>
      </c>
      <c r="H95" s="4" t="s">
        <v>18</v>
      </c>
      <c r="I95" s="10">
        <f t="shared" ca="1" si="4"/>
        <v>3.2602739726027399</v>
      </c>
      <c r="J95" s="6">
        <f t="shared" ca="1" si="5"/>
        <v>2119</v>
      </c>
    </row>
    <row r="96" spans="1:10">
      <c r="A96" s="4" t="s">
        <v>22</v>
      </c>
      <c r="B96" s="4" t="s">
        <v>23</v>
      </c>
      <c r="C96" s="4" t="s">
        <v>16</v>
      </c>
      <c r="D96" s="4">
        <v>28</v>
      </c>
      <c r="E96" s="5">
        <v>44357</v>
      </c>
      <c r="F96" s="6">
        <v>53240</v>
      </c>
      <c r="G96" s="4" t="s">
        <v>21</v>
      </c>
      <c r="H96" s="4" t="s">
        <v>18</v>
      </c>
      <c r="I96" s="10">
        <f t="shared" ca="1" si="4"/>
        <v>4.3589041095890408</v>
      </c>
      <c r="J96" s="6">
        <f t="shared" ca="1" si="5"/>
        <v>1598</v>
      </c>
    </row>
    <row r="97" spans="1:10">
      <c r="A97" s="4" t="s">
        <v>24</v>
      </c>
      <c r="B97" s="4" t="s">
        <v>215</v>
      </c>
      <c r="C97" s="4" t="s">
        <v>25</v>
      </c>
      <c r="D97" s="4">
        <v>37</v>
      </c>
      <c r="E97" s="5">
        <v>44146</v>
      </c>
      <c r="F97" s="6">
        <v>115440</v>
      </c>
      <c r="G97" s="4" t="s">
        <v>26</v>
      </c>
      <c r="H97" s="4" t="s">
        <v>18</v>
      </c>
      <c r="I97" s="10">
        <f t="shared" ca="1" si="4"/>
        <v>4.9369863013698634</v>
      </c>
      <c r="J97" s="6">
        <f t="shared" ca="1" si="5"/>
        <v>3464</v>
      </c>
    </row>
    <row r="98" spans="1:10">
      <c r="A98" s="4" t="s">
        <v>27</v>
      </c>
      <c r="B98" s="4" t="s">
        <v>15</v>
      </c>
      <c r="C98" s="4" t="s">
        <v>16</v>
      </c>
      <c r="D98" s="4">
        <v>32</v>
      </c>
      <c r="E98" s="5">
        <v>44465</v>
      </c>
      <c r="F98" s="6">
        <v>53540</v>
      </c>
      <c r="G98" s="4" t="s">
        <v>21</v>
      </c>
      <c r="H98" s="4" t="s">
        <v>18</v>
      </c>
      <c r="I98" s="10">
        <f t="shared" ca="1" si="4"/>
        <v>4.0630136986301366</v>
      </c>
      <c r="J98" s="6">
        <f t="shared" ca="1" si="5"/>
        <v>1607</v>
      </c>
    </row>
    <row r="99" spans="1:10">
      <c r="A99" s="4" t="s">
        <v>28</v>
      </c>
      <c r="B99" s="4" t="s">
        <v>23</v>
      </c>
      <c r="C99" s="4" t="s">
        <v>20</v>
      </c>
      <c r="D99" s="4">
        <v>30</v>
      </c>
      <c r="E99" s="5">
        <v>44861</v>
      </c>
      <c r="F99" s="6">
        <v>112570</v>
      </c>
      <c r="G99" s="4" t="s">
        <v>21</v>
      </c>
      <c r="H99" s="4" t="s">
        <v>18</v>
      </c>
      <c r="I99" s="10">
        <f t="shared" ref="I99:I130" ca="1" si="6">(TODAY()-E99)/365</f>
        <v>2.978082191780822</v>
      </c>
      <c r="J99" s="6">
        <f t="shared" ref="J99:J130" ca="1" si="7">ROUNDUP(IF(I99&gt;3,3%,2%)*F99,0)</f>
        <v>2252</v>
      </c>
    </row>
    <row r="100" spans="1:10">
      <c r="A100" s="4" t="s">
        <v>29</v>
      </c>
      <c r="B100" s="4" t="s">
        <v>15</v>
      </c>
      <c r="C100" s="4" t="s">
        <v>20</v>
      </c>
      <c r="D100" s="4">
        <v>33</v>
      </c>
      <c r="E100" s="5">
        <v>44701</v>
      </c>
      <c r="F100" s="6">
        <v>48530</v>
      </c>
      <c r="G100" s="4" t="s">
        <v>17</v>
      </c>
      <c r="H100" s="4" t="s">
        <v>18</v>
      </c>
      <c r="I100" s="10">
        <f t="shared" ca="1" si="6"/>
        <v>3.4164383561643836</v>
      </c>
      <c r="J100" s="6">
        <f t="shared" ca="1" si="7"/>
        <v>1456</v>
      </c>
    </row>
    <row r="101" spans="1:10">
      <c r="A101" s="4" t="s">
        <v>30</v>
      </c>
      <c r="B101" s="4" t="s">
        <v>23</v>
      </c>
      <c r="C101" s="4" t="s">
        <v>31</v>
      </c>
      <c r="D101" s="4">
        <v>24</v>
      </c>
      <c r="E101" s="5">
        <v>44148</v>
      </c>
      <c r="F101" s="6">
        <v>62780</v>
      </c>
      <c r="G101" s="4" t="s">
        <v>21</v>
      </c>
      <c r="H101" s="4" t="s">
        <v>18</v>
      </c>
      <c r="I101" s="10">
        <f t="shared" ca="1" si="6"/>
        <v>4.9315068493150687</v>
      </c>
      <c r="J101" s="6">
        <f t="shared" ca="1" si="7"/>
        <v>1884</v>
      </c>
    </row>
    <row r="102" spans="1:10">
      <c r="A102" s="4" t="s">
        <v>32</v>
      </c>
      <c r="B102" s="4" t="s">
        <v>15</v>
      </c>
      <c r="C102" s="4" t="s">
        <v>31</v>
      </c>
      <c r="D102" s="4">
        <v>33</v>
      </c>
      <c r="E102" s="5">
        <v>44509</v>
      </c>
      <c r="F102" s="6">
        <v>53870</v>
      </c>
      <c r="G102" s="4" t="s">
        <v>21</v>
      </c>
      <c r="H102" s="4" t="s">
        <v>18</v>
      </c>
      <c r="I102" s="10">
        <f t="shared" ca="1" si="6"/>
        <v>3.9424657534246577</v>
      </c>
      <c r="J102" s="6">
        <f t="shared" ca="1" si="7"/>
        <v>1617</v>
      </c>
    </row>
    <row r="103" spans="1:10">
      <c r="A103" s="4" t="s">
        <v>33</v>
      </c>
      <c r="B103" s="4" t="s">
        <v>23</v>
      </c>
      <c r="C103" s="4" t="s">
        <v>34</v>
      </c>
      <c r="D103" s="4">
        <v>27</v>
      </c>
      <c r="E103" s="5">
        <v>44122</v>
      </c>
      <c r="F103" s="6">
        <v>119110</v>
      </c>
      <c r="G103" s="4" t="s">
        <v>21</v>
      </c>
      <c r="H103" s="4" t="s">
        <v>18</v>
      </c>
      <c r="I103" s="10">
        <f t="shared" ca="1" si="6"/>
        <v>5.0027397260273974</v>
      </c>
      <c r="J103" s="6">
        <f t="shared" ca="1" si="7"/>
        <v>3574</v>
      </c>
    </row>
    <row r="104" spans="1:10">
      <c r="A104" s="4" t="s">
        <v>35</v>
      </c>
      <c r="B104" s="4" t="s">
        <v>15</v>
      </c>
      <c r="C104" s="4" t="s">
        <v>31</v>
      </c>
      <c r="D104" s="4">
        <v>29</v>
      </c>
      <c r="E104" s="5">
        <v>44180</v>
      </c>
      <c r="F104" s="6">
        <v>112110</v>
      </c>
      <c r="G104" s="4" t="s">
        <v>26</v>
      </c>
      <c r="H104" s="4" t="s">
        <v>18</v>
      </c>
      <c r="I104" s="10">
        <f t="shared" ca="1" si="6"/>
        <v>4.8438356164383558</v>
      </c>
      <c r="J104" s="6">
        <f t="shared" ca="1" si="7"/>
        <v>3364</v>
      </c>
    </row>
    <row r="105" spans="1:10">
      <c r="A105" s="4" t="s">
        <v>36</v>
      </c>
      <c r="B105" s="4" t="s">
        <v>15</v>
      </c>
      <c r="C105" s="4" t="s">
        <v>16</v>
      </c>
      <c r="D105" s="4">
        <v>25</v>
      </c>
      <c r="E105" s="5">
        <v>44383</v>
      </c>
      <c r="F105" s="6">
        <v>65700</v>
      </c>
      <c r="G105" s="4" t="s">
        <v>21</v>
      </c>
      <c r="H105" s="4" t="s">
        <v>18</v>
      </c>
      <c r="I105" s="10">
        <f t="shared" ca="1" si="6"/>
        <v>4.2876712328767121</v>
      </c>
      <c r="J105" s="6">
        <f t="shared" ca="1" si="7"/>
        <v>1971</v>
      </c>
    </row>
    <row r="106" spans="1:10">
      <c r="A106" s="4" t="s">
        <v>37</v>
      </c>
      <c r="B106" s="4" t="s">
        <v>15</v>
      </c>
      <c r="C106" s="4" t="s">
        <v>31</v>
      </c>
      <c r="D106" s="4">
        <v>37</v>
      </c>
      <c r="E106" s="5">
        <v>44701</v>
      </c>
      <c r="F106" s="6">
        <v>69070</v>
      </c>
      <c r="G106" s="4" t="s">
        <v>21</v>
      </c>
      <c r="H106" s="4" t="s">
        <v>18</v>
      </c>
      <c r="I106" s="10">
        <f t="shared" ca="1" si="6"/>
        <v>3.4164383561643836</v>
      </c>
      <c r="J106" s="6">
        <f t="shared" ca="1" si="7"/>
        <v>2073</v>
      </c>
    </row>
    <row r="107" spans="1:10">
      <c r="A107" s="4" t="s">
        <v>38</v>
      </c>
      <c r="B107" s="4" t="s">
        <v>15</v>
      </c>
      <c r="C107" s="4" t="s">
        <v>31</v>
      </c>
      <c r="D107" s="4">
        <v>20</v>
      </c>
      <c r="E107" s="5">
        <v>44459</v>
      </c>
      <c r="F107" s="6">
        <v>107700</v>
      </c>
      <c r="G107" s="4" t="s">
        <v>21</v>
      </c>
      <c r="H107" s="4" t="s">
        <v>18</v>
      </c>
      <c r="I107" s="10">
        <f t="shared" ca="1" si="6"/>
        <v>4.0794520547945208</v>
      </c>
      <c r="J107" s="6">
        <f t="shared" ca="1" si="7"/>
        <v>3231</v>
      </c>
    </row>
    <row r="108" spans="1:10">
      <c r="A108" s="4" t="s">
        <v>39</v>
      </c>
      <c r="B108" s="4" t="s">
        <v>23</v>
      </c>
      <c r="C108" s="4" t="s">
        <v>31</v>
      </c>
      <c r="D108" s="4">
        <v>32</v>
      </c>
      <c r="E108" s="5">
        <v>44354</v>
      </c>
      <c r="F108" s="6">
        <v>43840</v>
      </c>
      <c r="G108" s="4" t="s">
        <v>17</v>
      </c>
      <c r="H108" s="4" t="s">
        <v>18</v>
      </c>
      <c r="I108" s="10">
        <f t="shared" ca="1" si="6"/>
        <v>4.3671232876712329</v>
      </c>
      <c r="J108" s="6">
        <f t="shared" ca="1" si="7"/>
        <v>1316</v>
      </c>
    </row>
    <row r="109" spans="1:10">
      <c r="A109" s="4" t="s">
        <v>40</v>
      </c>
      <c r="B109" s="4" t="s">
        <v>15</v>
      </c>
      <c r="C109" s="4" t="s">
        <v>20</v>
      </c>
      <c r="D109" s="4">
        <v>40</v>
      </c>
      <c r="E109" s="5">
        <v>44263</v>
      </c>
      <c r="F109" s="6">
        <v>99750</v>
      </c>
      <c r="G109" s="4" t="s">
        <v>21</v>
      </c>
      <c r="H109" s="4" t="s">
        <v>18</v>
      </c>
      <c r="I109" s="10">
        <f t="shared" ca="1" si="6"/>
        <v>4.6164383561643838</v>
      </c>
      <c r="J109" s="6">
        <f t="shared" ca="1" si="7"/>
        <v>2993</v>
      </c>
    </row>
    <row r="110" spans="1:10">
      <c r="A110" s="4" t="s">
        <v>41</v>
      </c>
      <c r="B110" s="4" t="s">
        <v>15</v>
      </c>
      <c r="C110" s="4" t="s">
        <v>20</v>
      </c>
      <c r="D110" s="4">
        <v>21</v>
      </c>
      <c r="E110" s="5">
        <v>44104</v>
      </c>
      <c r="F110" s="6">
        <v>37920</v>
      </c>
      <c r="G110" s="4" t="s">
        <v>21</v>
      </c>
      <c r="H110" s="4" t="s">
        <v>18</v>
      </c>
      <c r="I110" s="10">
        <f t="shared" ca="1" si="6"/>
        <v>5.0520547945205481</v>
      </c>
      <c r="J110" s="6">
        <f t="shared" ca="1" si="7"/>
        <v>1138</v>
      </c>
    </row>
    <row r="111" spans="1:10">
      <c r="A111" s="4" t="s">
        <v>42</v>
      </c>
      <c r="B111" s="4" t="s">
        <v>15</v>
      </c>
      <c r="C111" s="4" t="s">
        <v>20</v>
      </c>
      <c r="D111" s="4">
        <v>21</v>
      </c>
      <c r="E111" s="5">
        <v>44762</v>
      </c>
      <c r="F111" s="6">
        <v>57090</v>
      </c>
      <c r="G111" s="4" t="s">
        <v>21</v>
      </c>
      <c r="H111" s="4" t="s">
        <v>18</v>
      </c>
      <c r="I111" s="10">
        <f t="shared" ca="1" si="6"/>
        <v>3.2493150684931509</v>
      </c>
      <c r="J111" s="6">
        <f t="shared" ca="1" si="7"/>
        <v>1713</v>
      </c>
    </row>
    <row r="112" spans="1:10">
      <c r="A112" s="4" t="s">
        <v>43</v>
      </c>
      <c r="B112" s="4" t="s">
        <v>23</v>
      </c>
      <c r="C112" s="4" t="s">
        <v>31</v>
      </c>
      <c r="D112" s="4">
        <v>31</v>
      </c>
      <c r="E112" s="5">
        <v>44145</v>
      </c>
      <c r="F112" s="6">
        <v>41980</v>
      </c>
      <c r="G112" s="4" t="s">
        <v>21</v>
      </c>
      <c r="H112" s="4" t="s">
        <v>18</v>
      </c>
      <c r="I112" s="10">
        <f t="shared" ca="1" si="6"/>
        <v>4.9397260273972599</v>
      </c>
      <c r="J112" s="6">
        <f t="shared" ca="1" si="7"/>
        <v>1260</v>
      </c>
    </row>
    <row r="113" spans="1:10">
      <c r="A113" s="4" t="s">
        <v>44</v>
      </c>
      <c r="B113" s="4" t="s">
        <v>15</v>
      </c>
      <c r="C113" s="4" t="s">
        <v>34</v>
      </c>
      <c r="D113" s="4">
        <v>21</v>
      </c>
      <c r="E113" s="5">
        <v>44242</v>
      </c>
      <c r="F113" s="6">
        <v>75880</v>
      </c>
      <c r="G113" s="4" t="s">
        <v>21</v>
      </c>
      <c r="H113" s="4" t="s">
        <v>18</v>
      </c>
      <c r="I113" s="10">
        <f t="shared" ca="1" si="6"/>
        <v>4.6739726027397257</v>
      </c>
      <c r="J113" s="6">
        <f t="shared" ca="1" si="7"/>
        <v>2277</v>
      </c>
    </row>
    <row r="114" spans="1:10">
      <c r="A114" s="4" t="s">
        <v>45</v>
      </c>
      <c r="B114" s="4" t="s">
        <v>23</v>
      </c>
      <c r="C114" s="4" t="s">
        <v>25</v>
      </c>
      <c r="D114" s="4">
        <v>34</v>
      </c>
      <c r="E114" s="5">
        <v>44653</v>
      </c>
      <c r="F114" s="6">
        <v>58940</v>
      </c>
      <c r="G114" s="4" t="s">
        <v>21</v>
      </c>
      <c r="H114" s="4" t="s">
        <v>18</v>
      </c>
      <c r="I114" s="10">
        <f t="shared" ca="1" si="6"/>
        <v>3.547945205479452</v>
      </c>
      <c r="J114" s="6">
        <f t="shared" ca="1" si="7"/>
        <v>1769</v>
      </c>
    </row>
    <row r="115" spans="1:10">
      <c r="A115" s="4" t="s">
        <v>46</v>
      </c>
      <c r="B115" s="4" t="s">
        <v>23</v>
      </c>
      <c r="C115" s="4" t="s">
        <v>25</v>
      </c>
      <c r="D115" s="4">
        <v>30</v>
      </c>
      <c r="E115" s="5">
        <v>44389</v>
      </c>
      <c r="F115" s="6">
        <v>67910</v>
      </c>
      <c r="G115" s="4" t="s">
        <v>26</v>
      </c>
      <c r="H115" s="4" t="s">
        <v>18</v>
      </c>
      <c r="I115" s="10">
        <f t="shared" ca="1" si="6"/>
        <v>4.2712328767123289</v>
      </c>
      <c r="J115" s="6">
        <f t="shared" ca="1" si="7"/>
        <v>2038</v>
      </c>
    </row>
    <row r="116" spans="1:10">
      <c r="A116" s="4" t="s">
        <v>47</v>
      </c>
      <c r="B116" s="4" t="s">
        <v>23</v>
      </c>
      <c r="C116" s="4" t="s">
        <v>31</v>
      </c>
      <c r="D116" s="4">
        <v>31</v>
      </c>
      <c r="E116" s="5">
        <v>44663</v>
      </c>
      <c r="F116" s="6">
        <v>58100</v>
      </c>
      <c r="G116" s="4" t="s">
        <v>21</v>
      </c>
      <c r="H116" s="4" t="s">
        <v>18</v>
      </c>
      <c r="I116" s="10">
        <f t="shared" ca="1" si="6"/>
        <v>3.5205479452054793</v>
      </c>
      <c r="J116" s="6">
        <f t="shared" ca="1" si="7"/>
        <v>1743</v>
      </c>
    </row>
    <row r="117" spans="1:10">
      <c r="A117" s="4" t="s">
        <v>48</v>
      </c>
      <c r="B117" s="4" t="s">
        <v>15</v>
      </c>
      <c r="C117" s="4" t="s">
        <v>25</v>
      </c>
      <c r="D117" s="4">
        <v>27</v>
      </c>
      <c r="E117" s="5">
        <v>44567</v>
      </c>
      <c r="F117" s="6">
        <v>48980</v>
      </c>
      <c r="G117" s="4" t="s">
        <v>21</v>
      </c>
      <c r="H117" s="4" t="s">
        <v>18</v>
      </c>
      <c r="I117" s="10">
        <f t="shared" ca="1" si="6"/>
        <v>3.7835616438356166</v>
      </c>
      <c r="J117" s="6">
        <f t="shared" ca="1" si="7"/>
        <v>1470</v>
      </c>
    </row>
    <row r="118" spans="1:10">
      <c r="A118" s="4" t="s">
        <v>49</v>
      </c>
      <c r="B118" s="4" t="s">
        <v>215</v>
      </c>
      <c r="C118" s="4" t="s">
        <v>25</v>
      </c>
      <c r="D118" s="4">
        <v>30</v>
      </c>
      <c r="E118" s="5">
        <v>44597</v>
      </c>
      <c r="F118" s="6">
        <v>64000</v>
      </c>
      <c r="G118" s="4" t="s">
        <v>21</v>
      </c>
      <c r="H118" s="4" t="s">
        <v>18</v>
      </c>
      <c r="I118" s="10">
        <f t="shared" ca="1" si="6"/>
        <v>3.7013698630136984</v>
      </c>
      <c r="J118" s="6">
        <f t="shared" ca="1" si="7"/>
        <v>1920</v>
      </c>
    </row>
    <row r="119" spans="1:10">
      <c r="A119" s="4" t="s">
        <v>50</v>
      </c>
      <c r="B119" s="4" t="s">
        <v>23</v>
      </c>
      <c r="C119" s="4" t="s">
        <v>20</v>
      </c>
      <c r="D119" s="4">
        <v>42</v>
      </c>
      <c r="E119" s="5">
        <v>44779</v>
      </c>
      <c r="F119" s="6">
        <v>75000</v>
      </c>
      <c r="G119" s="4" t="s">
        <v>51</v>
      </c>
      <c r="H119" s="4" t="s">
        <v>18</v>
      </c>
      <c r="I119" s="10">
        <f t="shared" ca="1" si="6"/>
        <v>3.2027397260273971</v>
      </c>
      <c r="J119" s="6">
        <f t="shared" ca="1" si="7"/>
        <v>2250</v>
      </c>
    </row>
    <row r="120" spans="1:10">
      <c r="A120" s="4" t="s">
        <v>52</v>
      </c>
      <c r="B120" s="4" t="s">
        <v>23</v>
      </c>
      <c r="C120" s="4" t="s">
        <v>31</v>
      </c>
      <c r="D120" s="4">
        <v>40</v>
      </c>
      <c r="E120" s="5">
        <v>44337</v>
      </c>
      <c r="F120" s="6">
        <v>87620</v>
      </c>
      <c r="G120" s="4" t="s">
        <v>21</v>
      </c>
      <c r="H120" s="4" t="s">
        <v>18</v>
      </c>
      <c r="I120" s="10">
        <f t="shared" ca="1" si="6"/>
        <v>4.4136986301369863</v>
      </c>
      <c r="J120" s="6">
        <f t="shared" ca="1" si="7"/>
        <v>2629</v>
      </c>
    </row>
    <row r="121" spans="1:10">
      <c r="A121" s="4" t="s">
        <v>53</v>
      </c>
      <c r="B121" s="4" t="s">
        <v>23</v>
      </c>
      <c r="C121" s="4" t="s">
        <v>31</v>
      </c>
      <c r="D121" s="4">
        <v>29</v>
      </c>
      <c r="E121" s="5">
        <v>44023</v>
      </c>
      <c r="F121" s="6">
        <v>34980</v>
      </c>
      <c r="G121" s="4" t="s">
        <v>21</v>
      </c>
      <c r="H121" s="4" t="s">
        <v>18</v>
      </c>
      <c r="I121" s="10">
        <f t="shared" ca="1" si="6"/>
        <v>5.2739726027397262</v>
      </c>
      <c r="J121" s="6">
        <f t="shared" ca="1" si="7"/>
        <v>1050</v>
      </c>
    </row>
    <row r="122" spans="1:10">
      <c r="A122" s="4" t="s">
        <v>54</v>
      </c>
      <c r="B122" s="4" t="s">
        <v>23</v>
      </c>
      <c r="C122" s="4" t="s">
        <v>25</v>
      </c>
      <c r="D122" s="4">
        <v>28</v>
      </c>
      <c r="E122" s="5">
        <v>44185</v>
      </c>
      <c r="F122" s="6">
        <v>75970</v>
      </c>
      <c r="G122" s="4" t="s">
        <v>21</v>
      </c>
      <c r="H122" s="4" t="s">
        <v>18</v>
      </c>
      <c r="I122" s="10">
        <f t="shared" ca="1" si="6"/>
        <v>4.8301369863013699</v>
      </c>
      <c r="J122" s="6">
        <f t="shared" ca="1" si="7"/>
        <v>2280</v>
      </c>
    </row>
    <row r="123" spans="1:10">
      <c r="A123" s="4" t="s">
        <v>55</v>
      </c>
      <c r="B123" s="4" t="s">
        <v>23</v>
      </c>
      <c r="C123" s="4" t="s">
        <v>25</v>
      </c>
      <c r="D123" s="4">
        <v>34</v>
      </c>
      <c r="E123" s="5">
        <v>44612</v>
      </c>
      <c r="F123" s="6">
        <v>60130</v>
      </c>
      <c r="G123" s="4" t="s">
        <v>21</v>
      </c>
      <c r="H123" s="4" t="s">
        <v>18</v>
      </c>
      <c r="I123" s="10">
        <f t="shared" ca="1" si="6"/>
        <v>3.6602739726027398</v>
      </c>
      <c r="J123" s="6">
        <f t="shared" ca="1" si="7"/>
        <v>1804</v>
      </c>
    </row>
    <row r="124" spans="1:10">
      <c r="A124" s="4" t="s">
        <v>56</v>
      </c>
      <c r="B124" s="4" t="s">
        <v>23</v>
      </c>
      <c r="C124" s="4" t="s">
        <v>31</v>
      </c>
      <c r="D124" s="4">
        <v>33</v>
      </c>
      <c r="E124" s="5">
        <v>44374</v>
      </c>
      <c r="F124" s="6">
        <v>75480</v>
      </c>
      <c r="G124" s="4" t="s">
        <v>57</v>
      </c>
      <c r="H124" s="4" t="s">
        <v>18</v>
      </c>
      <c r="I124" s="10">
        <f t="shared" ca="1" si="6"/>
        <v>4.3123287671232875</v>
      </c>
      <c r="J124" s="6">
        <f t="shared" ca="1" si="7"/>
        <v>2265</v>
      </c>
    </row>
    <row r="125" spans="1:10">
      <c r="A125" s="4" t="s">
        <v>58</v>
      </c>
      <c r="B125" s="4" t="s">
        <v>15</v>
      </c>
      <c r="C125" s="4" t="s">
        <v>20</v>
      </c>
      <c r="D125" s="4">
        <v>33</v>
      </c>
      <c r="E125" s="5">
        <v>44164</v>
      </c>
      <c r="F125" s="6">
        <v>115920</v>
      </c>
      <c r="G125" s="4" t="s">
        <v>21</v>
      </c>
      <c r="H125" s="4" t="s">
        <v>18</v>
      </c>
      <c r="I125" s="10">
        <f t="shared" ca="1" si="6"/>
        <v>4.8876712328767127</v>
      </c>
      <c r="J125" s="6">
        <f t="shared" ca="1" si="7"/>
        <v>3478</v>
      </c>
    </row>
    <row r="126" spans="1:10">
      <c r="A126" s="4" t="s">
        <v>59</v>
      </c>
      <c r="B126" s="4" t="s">
        <v>23</v>
      </c>
      <c r="C126" s="4" t="s">
        <v>16</v>
      </c>
      <c r="D126" s="4">
        <v>36</v>
      </c>
      <c r="E126" s="5">
        <v>44494</v>
      </c>
      <c r="F126" s="6">
        <v>78540</v>
      </c>
      <c r="G126" s="4" t="s">
        <v>21</v>
      </c>
      <c r="H126" s="4" t="s">
        <v>18</v>
      </c>
      <c r="I126" s="10">
        <f t="shared" ca="1" si="6"/>
        <v>3.9835616438356163</v>
      </c>
      <c r="J126" s="6">
        <f t="shared" ca="1" si="7"/>
        <v>2357</v>
      </c>
    </row>
    <row r="127" spans="1:10">
      <c r="A127" s="4" t="s">
        <v>60</v>
      </c>
      <c r="B127" s="4" t="s">
        <v>15</v>
      </c>
      <c r="C127" s="4" t="s">
        <v>20</v>
      </c>
      <c r="D127" s="4">
        <v>25</v>
      </c>
      <c r="E127" s="5">
        <v>44726</v>
      </c>
      <c r="F127" s="6">
        <v>109190</v>
      </c>
      <c r="G127" s="4" t="s">
        <v>17</v>
      </c>
      <c r="H127" s="4" t="s">
        <v>18</v>
      </c>
      <c r="I127" s="10">
        <f t="shared" ca="1" si="6"/>
        <v>3.3479452054794518</v>
      </c>
      <c r="J127" s="6">
        <f t="shared" ca="1" si="7"/>
        <v>3276</v>
      </c>
    </row>
    <row r="128" spans="1:10">
      <c r="A128" s="4" t="s">
        <v>61</v>
      </c>
      <c r="B128" s="4" t="s">
        <v>23</v>
      </c>
      <c r="C128" s="4" t="s">
        <v>16</v>
      </c>
      <c r="D128" s="4">
        <v>34</v>
      </c>
      <c r="E128" s="5">
        <v>44721</v>
      </c>
      <c r="F128" s="6">
        <v>49630</v>
      </c>
      <c r="G128" s="4" t="s">
        <v>26</v>
      </c>
      <c r="H128" s="4" t="s">
        <v>18</v>
      </c>
      <c r="I128" s="10">
        <f t="shared" ca="1" si="6"/>
        <v>3.3616438356164382</v>
      </c>
      <c r="J128" s="6">
        <f t="shared" ca="1" si="7"/>
        <v>1489</v>
      </c>
    </row>
    <row r="129" spans="1:10">
      <c r="A129" s="4" t="s">
        <v>62</v>
      </c>
      <c r="B129" s="4" t="s">
        <v>23</v>
      </c>
      <c r="C129" s="4" t="s">
        <v>20</v>
      </c>
      <c r="D129" s="4">
        <v>28</v>
      </c>
      <c r="E129" s="5">
        <v>44630</v>
      </c>
      <c r="F129" s="6">
        <v>99970</v>
      </c>
      <c r="G129" s="4" t="s">
        <v>21</v>
      </c>
      <c r="H129" s="4" t="s">
        <v>18</v>
      </c>
      <c r="I129" s="10">
        <f t="shared" ca="1" si="6"/>
        <v>3.6109589041095891</v>
      </c>
      <c r="J129" s="6">
        <f t="shared" ca="1" si="7"/>
        <v>3000</v>
      </c>
    </row>
    <row r="130" spans="1:10">
      <c r="A130" s="4" t="s">
        <v>63</v>
      </c>
      <c r="B130" s="4" t="s">
        <v>23</v>
      </c>
      <c r="C130" s="4" t="s">
        <v>31</v>
      </c>
      <c r="D130" s="4">
        <v>33</v>
      </c>
      <c r="E130" s="5">
        <v>44190</v>
      </c>
      <c r="F130" s="6">
        <v>96140</v>
      </c>
      <c r="G130" s="4" t="s">
        <v>21</v>
      </c>
      <c r="H130" s="4" t="s">
        <v>18</v>
      </c>
      <c r="I130" s="10">
        <f t="shared" ca="1" si="6"/>
        <v>4.816438356164384</v>
      </c>
      <c r="J130" s="6">
        <f t="shared" ca="1" si="7"/>
        <v>2885</v>
      </c>
    </row>
    <row r="131" spans="1:10">
      <c r="A131" s="4" t="s">
        <v>64</v>
      </c>
      <c r="B131" s="4" t="s">
        <v>15</v>
      </c>
      <c r="C131" s="4" t="s">
        <v>20</v>
      </c>
      <c r="D131" s="4">
        <v>31</v>
      </c>
      <c r="E131" s="5">
        <v>44724</v>
      </c>
      <c r="F131" s="6">
        <v>103550</v>
      </c>
      <c r="G131" s="4" t="s">
        <v>21</v>
      </c>
      <c r="H131" s="4" t="s">
        <v>18</v>
      </c>
      <c r="I131" s="10">
        <f t="shared" ref="I131:I162" ca="1" si="8">(TODAY()-E131)/365</f>
        <v>3.3534246575342466</v>
      </c>
      <c r="J131" s="6">
        <f t="shared" ref="J131:J162" ca="1" si="9">ROUNDUP(IF(I131&gt;3,3%,2%)*F131,0)</f>
        <v>3107</v>
      </c>
    </row>
    <row r="132" spans="1:10">
      <c r="A132" s="4" t="s">
        <v>65</v>
      </c>
      <c r="B132" s="4" t="s">
        <v>15</v>
      </c>
      <c r="C132" s="4" t="s">
        <v>31</v>
      </c>
      <c r="D132" s="4">
        <v>31</v>
      </c>
      <c r="E132" s="5">
        <v>44511</v>
      </c>
      <c r="F132" s="6">
        <v>48950</v>
      </c>
      <c r="G132" s="4" t="s">
        <v>21</v>
      </c>
      <c r="H132" s="4" t="s">
        <v>18</v>
      </c>
      <c r="I132" s="10">
        <f t="shared" ca="1" si="8"/>
        <v>3.9369863013698629</v>
      </c>
      <c r="J132" s="6">
        <f t="shared" ca="1" si="9"/>
        <v>1469</v>
      </c>
    </row>
    <row r="133" spans="1:10">
      <c r="A133" s="4" t="s">
        <v>66</v>
      </c>
      <c r="B133" s="4" t="s">
        <v>15</v>
      </c>
      <c r="C133" s="4" t="s">
        <v>25</v>
      </c>
      <c r="D133" s="4">
        <v>24</v>
      </c>
      <c r="E133" s="5">
        <v>44436</v>
      </c>
      <c r="F133" s="6">
        <v>52610</v>
      </c>
      <c r="G133" s="4" t="s">
        <v>26</v>
      </c>
      <c r="H133" s="4" t="s">
        <v>18</v>
      </c>
      <c r="I133" s="10">
        <f t="shared" ca="1" si="8"/>
        <v>4.1424657534246574</v>
      </c>
      <c r="J133" s="6">
        <f t="shared" ca="1" si="9"/>
        <v>1579</v>
      </c>
    </row>
    <row r="134" spans="1:10">
      <c r="A134" s="4" t="s">
        <v>67</v>
      </c>
      <c r="B134" s="4" t="s">
        <v>23</v>
      </c>
      <c r="C134" s="4" t="s">
        <v>20</v>
      </c>
      <c r="D134" s="4">
        <v>36</v>
      </c>
      <c r="E134" s="5">
        <v>44529</v>
      </c>
      <c r="F134" s="6">
        <v>78390</v>
      </c>
      <c r="G134" s="4" t="s">
        <v>21</v>
      </c>
      <c r="H134" s="4" t="s">
        <v>18</v>
      </c>
      <c r="I134" s="10">
        <f t="shared" ca="1" si="8"/>
        <v>3.8876712328767122</v>
      </c>
      <c r="J134" s="6">
        <f t="shared" ca="1" si="9"/>
        <v>2352</v>
      </c>
    </row>
    <row r="135" spans="1:10">
      <c r="A135" s="4" t="s">
        <v>68</v>
      </c>
      <c r="B135" s="4" t="s">
        <v>23</v>
      </c>
      <c r="C135" s="4" t="s">
        <v>25</v>
      </c>
      <c r="D135" s="4">
        <v>33</v>
      </c>
      <c r="E135" s="5">
        <v>44809</v>
      </c>
      <c r="F135" s="6">
        <v>86570</v>
      </c>
      <c r="G135" s="4" t="s">
        <v>21</v>
      </c>
      <c r="H135" s="4" t="s">
        <v>18</v>
      </c>
      <c r="I135" s="10">
        <f t="shared" ca="1" si="8"/>
        <v>3.1205479452054794</v>
      </c>
      <c r="J135" s="6">
        <f t="shared" ca="1" si="9"/>
        <v>2598</v>
      </c>
    </row>
    <row r="136" spans="1:10">
      <c r="A136" s="4" t="s">
        <v>69</v>
      </c>
      <c r="B136" s="4" t="s">
        <v>23</v>
      </c>
      <c r="C136" s="4" t="s">
        <v>31</v>
      </c>
      <c r="D136" s="4">
        <v>27</v>
      </c>
      <c r="E136" s="5">
        <v>44686</v>
      </c>
      <c r="F136" s="6">
        <v>83750</v>
      </c>
      <c r="G136" s="4" t="s">
        <v>21</v>
      </c>
      <c r="H136" s="4" t="s">
        <v>18</v>
      </c>
      <c r="I136" s="10">
        <f t="shared" ca="1" si="8"/>
        <v>3.4575342465753423</v>
      </c>
      <c r="J136" s="6">
        <f t="shared" ca="1" si="9"/>
        <v>2513</v>
      </c>
    </row>
    <row r="137" spans="1:10">
      <c r="A137" s="4" t="s">
        <v>70</v>
      </c>
      <c r="B137" s="4" t="s">
        <v>23</v>
      </c>
      <c r="C137" s="4" t="s">
        <v>25</v>
      </c>
      <c r="D137" s="4">
        <v>34</v>
      </c>
      <c r="E137" s="5">
        <v>44445</v>
      </c>
      <c r="F137" s="6">
        <v>92450</v>
      </c>
      <c r="G137" s="4" t="s">
        <v>21</v>
      </c>
      <c r="H137" s="4" t="s">
        <v>18</v>
      </c>
      <c r="I137" s="10">
        <f t="shared" ca="1" si="8"/>
        <v>4.117808219178082</v>
      </c>
      <c r="J137" s="6">
        <f t="shared" ca="1" si="9"/>
        <v>2774</v>
      </c>
    </row>
    <row r="138" spans="1:10">
      <c r="A138" s="4" t="s">
        <v>71</v>
      </c>
      <c r="B138" s="4" t="s">
        <v>15</v>
      </c>
      <c r="C138" s="4" t="s">
        <v>31</v>
      </c>
      <c r="D138" s="4">
        <v>20</v>
      </c>
      <c r="E138" s="5">
        <v>44183</v>
      </c>
      <c r="F138" s="6">
        <v>112650</v>
      </c>
      <c r="G138" s="4" t="s">
        <v>21</v>
      </c>
      <c r="H138" s="4" t="s">
        <v>18</v>
      </c>
      <c r="I138" s="10">
        <f t="shared" ca="1" si="8"/>
        <v>4.8356164383561646</v>
      </c>
      <c r="J138" s="6">
        <f t="shared" ca="1" si="9"/>
        <v>3380</v>
      </c>
    </row>
    <row r="139" spans="1:10">
      <c r="A139" s="4" t="s">
        <v>72</v>
      </c>
      <c r="B139" s="4" t="s">
        <v>15</v>
      </c>
      <c r="C139" s="4" t="s">
        <v>20</v>
      </c>
      <c r="D139" s="4">
        <v>20</v>
      </c>
      <c r="E139" s="5">
        <v>44744</v>
      </c>
      <c r="F139" s="6">
        <v>79570</v>
      </c>
      <c r="G139" s="4" t="s">
        <v>21</v>
      </c>
      <c r="H139" s="4" t="s">
        <v>18</v>
      </c>
      <c r="I139" s="10">
        <f t="shared" ca="1" si="8"/>
        <v>3.2986301369863016</v>
      </c>
      <c r="J139" s="6">
        <f t="shared" ca="1" si="9"/>
        <v>2388</v>
      </c>
    </row>
    <row r="140" spans="1:10">
      <c r="A140" s="4" t="s">
        <v>73</v>
      </c>
      <c r="B140" s="4" t="s">
        <v>23</v>
      </c>
      <c r="C140" s="4" t="s">
        <v>16</v>
      </c>
      <c r="D140" s="4">
        <v>20</v>
      </c>
      <c r="E140" s="5">
        <v>44537</v>
      </c>
      <c r="F140" s="6">
        <v>68900</v>
      </c>
      <c r="G140" s="4" t="s">
        <v>26</v>
      </c>
      <c r="H140" s="4" t="s">
        <v>18</v>
      </c>
      <c r="I140" s="10">
        <f t="shared" ca="1" si="8"/>
        <v>3.8657534246575342</v>
      </c>
      <c r="J140" s="6">
        <f t="shared" ca="1" si="9"/>
        <v>2067</v>
      </c>
    </row>
    <row r="141" spans="1:10">
      <c r="A141" s="4" t="s">
        <v>74</v>
      </c>
      <c r="B141" s="4" t="s">
        <v>23</v>
      </c>
      <c r="C141" s="4" t="s">
        <v>31</v>
      </c>
      <c r="D141" s="4">
        <v>25</v>
      </c>
      <c r="E141" s="5">
        <v>44694</v>
      </c>
      <c r="F141" s="6">
        <v>80700</v>
      </c>
      <c r="G141" s="4" t="s">
        <v>17</v>
      </c>
      <c r="H141" s="4" t="s">
        <v>18</v>
      </c>
      <c r="I141" s="10">
        <f t="shared" ca="1" si="8"/>
        <v>3.4356164383561643</v>
      </c>
      <c r="J141" s="6">
        <f t="shared" ca="1" si="9"/>
        <v>2421</v>
      </c>
    </row>
    <row r="142" spans="1:10">
      <c r="A142" s="4" t="s">
        <v>75</v>
      </c>
      <c r="B142" s="4" t="s">
        <v>15</v>
      </c>
      <c r="C142" s="4" t="s">
        <v>20</v>
      </c>
      <c r="D142" s="4">
        <v>19</v>
      </c>
      <c r="E142" s="5">
        <v>44277</v>
      </c>
      <c r="F142" s="6">
        <v>58960</v>
      </c>
      <c r="G142" s="4" t="s">
        <v>21</v>
      </c>
      <c r="H142" s="4" t="s">
        <v>18</v>
      </c>
      <c r="I142" s="10">
        <f t="shared" ca="1" si="8"/>
        <v>4.5780821917808217</v>
      </c>
      <c r="J142" s="6">
        <f t="shared" ca="1" si="9"/>
        <v>1769</v>
      </c>
    </row>
    <row r="143" spans="1:10">
      <c r="A143" s="4" t="s">
        <v>76</v>
      </c>
      <c r="B143" s="4" t="s">
        <v>15</v>
      </c>
      <c r="C143" s="4" t="s">
        <v>31</v>
      </c>
      <c r="D143" s="4">
        <v>36</v>
      </c>
      <c r="E143" s="5">
        <v>44019</v>
      </c>
      <c r="F143" s="6">
        <v>118840</v>
      </c>
      <c r="G143" s="4" t="s">
        <v>21</v>
      </c>
      <c r="H143" s="4" t="s">
        <v>18</v>
      </c>
      <c r="I143" s="10">
        <f t="shared" ca="1" si="8"/>
        <v>5.2849315068493148</v>
      </c>
      <c r="J143" s="6">
        <f t="shared" ca="1" si="9"/>
        <v>3566</v>
      </c>
    </row>
    <row r="144" spans="1:10">
      <c r="A144" s="4" t="s">
        <v>77</v>
      </c>
      <c r="B144" s="4" t="s">
        <v>15</v>
      </c>
      <c r="C144" s="4" t="s">
        <v>25</v>
      </c>
      <c r="D144" s="4">
        <v>28</v>
      </c>
      <c r="E144" s="5">
        <v>44041</v>
      </c>
      <c r="F144" s="6">
        <v>48170</v>
      </c>
      <c r="G144" s="4" t="s">
        <v>17</v>
      </c>
      <c r="H144" s="4" t="s">
        <v>18</v>
      </c>
      <c r="I144" s="10">
        <f t="shared" ca="1" si="8"/>
        <v>5.2246575342465755</v>
      </c>
      <c r="J144" s="6">
        <f t="shared" ca="1" si="9"/>
        <v>1446</v>
      </c>
    </row>
    <row r="145" spans="1:10">
      <c r="A145" s="4" t="s">
        <v>78</v>
      </c>
      <c r="B145" s="4" t="s">
        <v>23</v>
      </c>
      <c r="C145" s="4" t="s">
        <v>34</v>
      </c>
      <c r="D145" s="4">
        <v>32</v>
      </c>
      <c r="E145" s="5">
        <v>44400</v>
      </c>
      <c r="F145" s="6">
        <v>45510</v>
      </c>
      <c r="G145" s="4" t="s">
        <v>21</v>
      </c>
      <c r="H145" s="4" t="s">
        <v>18</v>
      </c>
      <c r="I145" s="10">
        <f t="shared" ca="1" si="8"/>
        <v>4.2410958904109588</v>
      </c>
      <c r="J145" s="6">
        <f t="shared" ca="1" si="9"/>
        <v>1366</v>
      </c>
    </row>
    <row r="146" spans="1:10">
      <c r="A146" s="4" t="s">
        <v>79</v>
      </c>
      <c r="B146" s="4" t="s">
        <v>23</v>
      </c>
      <c r="C146" s="4" t="s">
        <v>20</v>
      </c>
      <c r="D146" s="4">
        <v>36</v>
      </c>
      <c r="E146" s="5">
        <v>44085</v>
      </c>
      <c r="F146" s="6">
        <v>114890</v>
      </c>
      <c r="G146" s="4" t="s">
        <v>21</v>
      </c>
      <c r="H146" s="4" t="s">
        <v>18</v>
      </c>
      <c r="I146" s="10">
        <f t="shared" ca="1" si="8"/>
        <v>5.1041095890410961</v>
      </c>
      <c r="J146" s="6">
        <f t="shared" ca="1" si="9"/>
        <v>3447</v>
      </c>
    </row>
    <row r="147" spans="1:10">
      <c r="A147" s="4" t="s">
        <v>80</v>
      </c>
      <c r="B147" s="4" t="s">
        <v>15</v>
      </c>
      <c r="C147" s="4" t="s">
        <v>31</v>
      </c>
      <c r="D147" s="4">
        <v>30</v>
      </c>
      <c r="E147" s="5">
        <v>44850</v>
      </c>
      <c r="F147" s="6">
        <v>69710</v>
      </c>
      <c r="G147" s="4" t="s">
        <v>21</v>
      </c>
      <c r="H147" s="4" t="s">
        <v>18</v>
      </c>
      <c r="I147" s="10">
        <f t="shared" ca="1" si="8"/>
        <v>3.0082191780821916</v>
      </c>
      <c r="J147" s="6">
        <f t="shared" ca="1" si="9"/>
        <v>2092</v>
      </c>
    </row>
    <row r="148" spans="1:10">
      <c r="A148" s="4" t="s">
        <v>81</v>
      </c>
      <c r="B148" s="4" t="s">
        <v>15</v>
      </c>
      <c r="C148" s="4" t="s">
        <v>25</v>
      </c>
      <c r="D148" s="4">
        <v>36</v>
      </c>
      <c r="E148" s="5">
        <v>44333</v>
      </c>
      <c r="F148" s="6">
        <v>71380</v>
      </c>
      <c r="G148" s="4" t="s">
        <v>21</v>
      </c>
      <c r="H148" s="4" t="s">
        <v>18</v>
      </c>
      <c r="I148" s="10">
        <f t="shared" ca="1" si="8"/>
        <v>4.4246575342465757</v>
      </c>
      <c r="J148" s="6">
        <f t="shared" ca="1" si="9"/>
        <v>2142</v>
      </c>
    </row>
    <row r="149" spans="1:10">
      <c r="A149" s="4" t="s">
        <v>82</v>
      </c>
      <c r="B149" s="4" t="s">
        <v>23</v>
      </c>
      <c r="C149" s="4" t="s">
        <v>16</v>
      </c>
      <c r="D149" s="4">
        <v>38</v>
      </c>
      <c r="E149" s="5">
        <v>44377</v>
      </c>
      <c r="F149" s="6">
        <v>109160</v>
      </c>
      <c r="G149" s="4" t="s">
        <v>51</v>
      </c>
      <c r="H149" s="4" t="s">
        <v>18</v>
      </c>
      <c r="I149" s="10">
        <f t="shared" ca="1" si="8"/>
        <v>4.3041095890410963</v>
      </c>
      <c r="J149" s="6">
        <f t="shared" ca="1" si="9"/>
        <v>3275</v>
      </c>
    </row>
    <row r="150" spans="1:10">
      <c r="A150" s="4" t="s">
        <v>83</v>
      </c>
      <c r="B150" s="4" t="s">
        <v>15</v>
      </c>
      <c r="C150" s="4" t="s">
        <v>20</v>
      </c>
      <c r="D150" s="4">
        <v>27</v>
      </c>
      <c r="E150" s="5">
        <v>44609</v>
      </c>
      <c r="F150" s="6">
        <v>113280</v>
      </c>
      <c r="G150" s="4" t="s">
        <v>57</v>
      </c>
      <c r="H150" s="4" t="s">
        <v>18</v>
      </c>
      <c r="I150" s="10">
        <f t="shared" ca="1" si="8"/>
        <v>3.6684931506849314</v>
      </c>
      <c r="J150" s="6">
        <f t="shared" ca="1" si="9"/>
        <v>3399</v>
      </c>
    </row>
    <row r="151" spans="1:10">
      <c r="A151" s="4" t="s">
        <v>84</v>
      </c>
      <c r="B151" s="4" t="s">
        <v>15</v>
      </c>
      <c r="C151" s="4" t="s">
        <v>31</v>
      </c>
      <c r="D151" s="4">
        <v>30</v>
      </c>
      <c r="E151" s="5">
        <v>44273</v>
      </c>
      <c r="F151" s="6">
        <v>69120</v>
      </c>
      <c r="G151" s="4" t="s">
        <v>21</v>
      </c>
      <c r="H151" s="4" t="s">
        <v>18</v>
      </c>
      <c r="I151" s="10">
        <f t="shared" ca="1" si="8"/>
        <v>4.5890410958904111</v>
      </c>
      <c r="J151" s="6">
        <f t="shared" ca="1" si="9"/>
        <v>2074</v>
      </c>
    </row>
    <row r="152" spans="1:10">
      <c r="A152" s="4" t="s">
        <v>85</v>
      </c>
      <c r="B152" s="4" t="s">
        <v>23</v>
      </c>
      <c r="C152" s="4" t="s">
        <v>34</v>
      </c>
      <c r="D152" s="4">
        <v>37</v>
      </c>
      <c r="E152" s="5">
        <v>44451</v>
      </c>
      <c r="F152" s="6">
        <v>118100</v>
      </c>
      <c r="G152" s="4" t="s">
        <v>21</v>
      </c>
      <c r="H152" s="4" t="s">
        <v>18</v>
      </c>
      <c r="I152" s="10">
        <f t="shared" ca="1" si="8"/>
        <v>4.1013698630136988</v>
      </c>
      <c r="J152" s="6">
        <f t="shared" ca="1" si="9"/>
        <v>3543</v>
      </c>
    </row>
    <row r="153" spans="1:10">
      <c r="A153" s="4" t="s">
        <v>86</v>
      </c>
      <c r="B153" s="4" t="s">
        <v>23</v>
      </c>
      <c r="C153" s="4" t="s">
        <v>20</v>
      </c>
      <c r="D153" s="4">
        <v>22</v>
      </c>
      <c r="E153" s="5">
        <v>44450</v>
      </c>
      <c r="F153" s="6">
        <v>76900</v>
      </c>
      <c r="G153" s="4" t="s">
        <v>17</v>
      </c>
      <c r="H153" s="4" t="s">
        <v>18</v>
      </c>
      <c r="I153" s="10">
        <f t="shared" ca="1" si="8"/>
        <v>4.1041095890410961</v>
      </c>
      <c r="J153" s="6">
        <f t="shared" ca="1" si="9"/>
        <v>2307</v>
      </c>
    </row>
    <row r="154" spans="1:10">
      <c r="A154" s="4" t="s">
        <v>87</v>
      </c>
      <c r="B154" s="4" t="s">
        <v>23</v>
      </c>
      <c r="C154" s="4" t="s">
        <v>31</v>
      </c>
      <c r="D154" s="4">
        <v>43</v>
      </c>
      <c r="E154" s="5">
        <v>45045</v>
      </c>
      <c r="F154" s="6">
        <v>114870</v>
      </c>
      <c r="G154" s="4" t="s">
        <v>21</v>
      </c>
      <c r="H154" s="4" t="s">
        <v>18</v>
      </c>
      <c r="I154" s="10">
        <f t="shared" ca="1" si="8"/>
        <v>2.473972602739726</v>
      </c>
      <c r="J154" s="6">
        <f t="shared" ca="1" si="9"/>
        <v>2298</v>
      </c>
    </row>
    <row r="155" spans="1:10">
      <c r="A155" s="4" t="s">
        <v>88</v>
      </c>
      <c r="B155" s="4" t="s">
        <v>215</v>
      </c>
      <c r="C155" s="4" t="s">
        <v>31</v>
      </c>
      <c r="D155" s="4">
        <v>32</v>
      </c>
      <c r="E155" s="5">
        <v>44774</v>
      </c>
      <c r="F155" s="6">
        <v>91310</v>
      </c>
      <c r="G155" s="4" t="s">
        <v>21</v>
      </c>
      <c r="H155" s="4" t="s">
        <v>18</v>
      </c>
      <c r="I155" s="10">
        <f t="shared" ca="1" si="8"/>
        <v>3.2164383561643834</v>
      </c>
      <c r="J155" s="6">
        <f t="shared" ca="1" si="9"/>
        <v>2740</v>
      </c>
    </row>
    <row r="156" spans="1:10">
      <c r="A156" s="4" t="s">
        <v>89</v>
      </c>
      <c r="B156" s="4" t="s">
        <v>23</v>
      </c>
      <c r="C156" s="4" t="s">
        <v>20</v>
      </c>
      <c r="D156" s="4">
        <v>28</v>
      </c>
      <c r="E156" s="5">
        <v>44486</v>
      </c>
      <c r="F156" s="6">
        <v>104770</v>
      </c>
      <c r="G156" s="4" t="s">
        <v>21</v>
      </c>
      <c r="H156" s="4" t="s">
        <v>18</v>
      </c>
      <c r="I156" s="10">
        <f t="shared" ca="1" si="8"/>
        <v>4.0054794520547947</v>
      </c>
      <c r="J156" s="6">
        <f t="shared" ca="1" si="9"/>
        <v>3144</v>
      </c>
    </row>
    <row r="157" spans="1:10">
      <c r="A157" s="4" t="s">
        <v>90</v>
      </c>
      <c r="B157" s="4" t="s">
        <v>15</v>
      </c>
      <c r="C157" s="4" t="s">
        <v>16</v>
      </c>
      <c r="D157" s="4">
        <v>27</v>
      </c>
      <c r="E157" s="5">
        <v>44134</v>
      </c>
      <c r="F157" s="6">
        <v>54970</v>
      </c>
      <c r="G157" s="4" t="s">
        <v>21</v>
      </c>
      <c r="H157" s="4" t="s">
        <v>18</v>
      </c>
      <c r="I157" s="10">
        <f t="shared" ca="1" si="8"/>
        <v>4.9698630136986299</v>
      </c>
      <c r="J157" s="6">
        <f t="shared" ca="1" si="9"/>
        <v>1650</v>
      </c>
    </row>
    <row r="158" spans="1:10">
      <c r="A158" s="4" t="s">
        <v>91</v>
      </c>
      <c r="B158" s="4" t="s">
        <v>215</v>
      </c>
      <c r="C158" s="4" t="s">
        <v>31</v>
      </c>
      <c r="D158" s="4">
        <v>26</v>
      </c>
      <c r="E158" s="5">
        <v>44271</v>
      </c>
      <c r="F158" s="6">
        <v>90700</v>
      </c>
      <c r="G158" s="4" t="s">
        <v>17</v>
      </c>
      <c r="H158" s="4" t="s">
        <v>18</v>
      </c>
      <c r="I158" s="10">
        <f t="shared" ca="1" si="8"/>
        <v>4.5945205479452058</v>
      </c>
      <c r="J158" s="6">
        <f t="shared" ca="1" si="9"/>
        <v>2721</v>
      </c>
    </row>
    <row r="159" spans="1:10">
      <c r="A159" s="4" t="s">
        <v>92</v>
      </c>
      <c r="B159" s="4" t="s">
        <v>23</v>
      </c>
      <c r="C159" s="4" t="s">
        <v>16</v>
      </c>
      <c r="D159" s="4">
        <v>38</v>
      </c>
      <c r="E159" s="5">
        <v>44329</v>
      </c>
      <c r="F159" s="6">
        <v>56870</v>
      </c>
      <c r="G159" s="4" t="s">
        <v>17</v>
      </c>
      <c r="H159" s="4" t="s">
        <v>18</v>
      </c>
      <c r="I159" s="10">
        <f t="shared" ca="1" si="8"/>
        <v>4.4356164383561643</v>
      </c>
      <c r="J159" s="6">
        <f t="shared" ca="1" si="9"/>
        <v>1707</v>
      </c>
    </row>
    <row r="160" spans="1:10">
      <c r="A160" s="4" t="s">
        <v>93</v>
      </c>
      <c r="B160" s="4" t="s">
        <v>23</v>
      </c>
      <c r="C160" s="4" t="s">
        <v>16</v>
      </c>
      <c r="D160" s="4">
        <v>25</v>
      </c>
      <c r="E160" s="5">
        <v>44205</v>
      </c>
      <c r="F160" s="6">
        <v>92700</v>
      </c>
      <c r="G160" s="4" t="s">
        <v>21</v>
      </c>
      <c r="H160" s="4" t="s">
        <v>18</v>
      </c>
      <c r="I160" s="10">
        <f t="shared" ca="1" si="8"/>
        <v>4.7753424657534245</v>
      </c>
      <c r="J160" s="6">
        <f t="shared" ca="1" si="9"/>
        <v>2781</v>
      </c>
    </row>
    <row r="161" spans="1:10">
      <c r="A161" s="4" t="s">
        <v>94</v>
      </c>
      <c r="B161" s="4" t="s">
        <v>23</v>
      </c>
      <c r="C161" s="4" t="s">
        <v>25</v>
      </c>
      <c r="D161" s="4">
        <v>21</v>
      </c>
      <c r="E161" s="5">
        <v>44317</v>
      </c>
      <c r="F161" s="6">
        <v>65920</v>
      </c>
      <c r="G161" s="4" t="s">
        <v>21</v>
      </c>
      <c r="H161" s="4" t="s">
        <v>18</v>
      </c>
      <c r="I161" s="10">
        <f t="shared" ca="1" si="8"/>
        <v>4.4684931506849317</v>
      </c>
      <c r="J161" s="6">
        <f t="shared" ca="1" si="9"/>
        <v>1978</v>
      </c>
    </row>
    <row r="162" spans="1:10">
      <c r="A162" s="4" t="s">
        <v>95</v>
      </c>
      <c r="B162" s="4" t="s">
        <v>15</v>
      </c>
      <c r="C162" s="4" t="s">
        <v>20</v>
      </c>
      <c r="D162" s="4">
        <v>26</v>
      </c>
      <c r="E162" s="5">
        <v>44225</v>
      </c>
      <c r="F162" s="6">
        <v>47360</v>
      </c>
      <c r="G162" s="4" t="s">
        <v>21</v>
      </c>
      <c r="H162" s="4" t="s">
        <v>18</v>
      </c>
      <c r="I162" s="10">
        <f t="shared" ca="1" si="8"/>
        <v>4.720547945205479</v>
      </c>
      <c r="J162" s="6">
        <f t="shared" ca="1" si="9"/>
        <v>1421</v>
      </c>
    </row>
    <row r="163" spans="1:10">
      <c r="A163" s="4" t="s">
        <v>96</v>
      </c>
      <c r="B163" s="4" t="s">
        <v>15</v>
      </c>
      <c r="C163" s="4" t="s">
        <v>20</v>
      </c>
      <c r="D163" s="4">
        <v>30</v>
      </c>
      <c r="E163" s="5">
        <v>44666</v>
      </c>
      <c r="F163" s="6">
        <v>60570</v>
      </c>
      <c r="G163" s="4" t="s">
        <v>21</v>
      </c>
      <c r="H163" s="4" t="s">
        <v>18</v>
      </c>
      <c r="I163" s="10">
        <f t="shared" ref="I163:I184" ca="1" si="10">(TODAY()-E163)/365</f>
        <v>3.5123287671232877</v>
      </c>
      <c r="J163" s="6">
        <f t="shared" ref="J163:J184" ca="1" si="11">ROUNDUP(IF(I163&gt;3,3%,2%)*F163,0)</f>
        <v>1818</v>
      </c>
    </row>
    <row r="164" spans="1:10">
      <c r="A164" s="4" t="s">
        <v>97</v>
      </c>
      <c r="B164" s="4" t="s">
        <v>23</v>
      </c>
      <c r="C164" s="4" t="s">
        <v>20</v>
      </c>
      <c r="D164" s="4">
        <v>28</v>
      </c>
      <c r="E164" s="5">
        <v>44649</v>
      </c>
      <c r="F164" s="6">
        <v>104120</v>
      </c>
      <c r="G164" s="4" t="s">
        <v>21</v>
      </c>
      <c r="H164" s="4" t="s">
        <v>18</v>
      </c>
      <c r="I164" s="10">
        <f t="shared" ca="1" si="10"/>
        <v>3.558904109589041</v>
      </c>
      <c r="J164" s="6">
        <f t="shared" ca="1" si="11"/>
        <v>3124</v>
      </c>
    </row>
    <row r="165" spans="1:10">
      <c r="A165" s="4" t="s">
        <v>98</v>
      </c>
      <c r="B165" s="4" t="s">
        <v>15</v>
      </c>
      <c r="C165" s="4" t="s">
        <v>31</v>
      </c>
      <c r="D165" s="4">
        <v>37</v>
      </c>
      <c r="E165" s="5">
        <v>44338</v>
      </c>
      <c r="F165" s="6">
        <v>88050</v>
      </c>
      <c r="G165" s="4" t="s">
        <v>26</v>
      </c>
      <c r="H165" s="4" t="s">
        <v>18</v>
      </c>
      <c r="I165" s="10">
        <f t="shared" ca="1" si="10"/>
        <v>4.4109589041095889</v>
      </c>
      <c r="J165" s="6">
        <f t="shared" ca="1" si="11"/>
        <v>2642</v>
      </c>
    </row>
    <row r="166" spans="1:10">
      <c r="A166" s="4" t="s">
        <v>99</v>
      </c>
      <c r="B166" s="4" t="s">
        <v>15</v>
      </c>
      <c r="C166" s="4" t="s">
        <v>31</v>
      </c>
      <c r="D166" s="4">
        <v>24</v>
      </c>
      <c r="E166" s="5">
        <v>44686</v>
      </c>
      <c r="F166" s="6">
        <v>100420</v>
      </c>
      <c r="G166" s="4" t="s">
        <v>21</v>
      </c>
      <c r="H166" s="4" t="s">
        <v>18</v>
      </c>
      <c r="I166" s="10">
        <f t="shared" ca="1" si="10"/>
        <v>3.4575342465753423</v>
      </c>
      <c r="J166" s="6">
        <f t="shared" ca="1" si="11"/>
        <v>3013</v>
      </c>
    </row>
    <row r="167" spans="1:10">
      <c r="A167" s="4" t="s">
        <v>100</v>
      </c>
      <c r="B167" s="4" t="s">
        <v>23</v>
      </c>
      <c r="C167" s="4" t="s">
        <v>20</v>
      </c>
      <c r="D167" s="4">
        <v>30</v>
      </c>
      <c r="E167" s="5">
        <v>44850</v>
      </c>
      <c r="F167" s="6">
        <v>114180</v>
      </c>
      <c r="G167" s="4" t="s">
        <v>21</v>
      </c>
      <c r="H167" s="4" t="s">
        <v>18</v>
      </c>
      <c r="I167" s="10">
        <f t="shared" ca="1" si="10"/>
        <v>3.0082191780821916</v>
      </c>
      <c r="J167" s="6">
        <f t="shared" ca="1" si="11"/>
        <v>3426</v>
      </c>
    </row>
    <row r="168" spans="1:10">
      <c r="A168" s="4" t="s">
        <v>101</v>
      </c>
      <c r="B168" s="4" t="s">
        <v>23</v>
      </c>
      <c r="C168" s="4" t="s">
        <v>31</v>
      </c>
      <c r="D168" s="4">
        <v>21</v>
      </c>
      <c r="E168" s="5">
        <v>44678</v>
      </c>
      <c r="F168" s="6">
        <v>33920</v>
      </c>
      <c r="G168" s="4" t="s">
        <v>21</v>
      </c>
      <c r="H168" s="4" t="s">
        <v>18</v>
      </c>
      <c r="I168" s="10">
        <f t="shared" ca="1" si="10"/>
        <v>3.4794520547945207</v>
      </c>
      <c r="J168" s="6">
        <f t="shared" ca="1" si="11"/>
        <v>1018</v>
      </c>
    </row>
    <row r="169" spans="1:10">
      <c r="A169" s="4" t="s">
        <v>102</v>
      </c>
      <c r="B169" s="4" t="s">
        <v>15</v>
      </c>
      <c r="C169" s="4" t="s">
        <v>20</v>
      </c>
      <c r="D169" s="4">
        <v>23</v>
      </c>
      <c r="E169" s="5">
        <v>44440</v>
      </c>
      <c r="F169" s="6">
        <v>106460</v>
      </c>
      <c r="G169" s="4" t="s">
        <v>21</v>
      </c>
      <c r="H169" s="4" t="s">
        <v>18</v>
      </c>
      <c r="I169" s="10">
        <f t="shared" ca="1" si="10"/>
        <v>4.1315068493150688</v>
      </c>
      <c r="J169" s="6">
        <f t="shared" ca="1" si="11"/>
        <v>3194</v>
      </c>
    </row>
    <row r="170" spans="1:10">
      <c r="A170" s="4" t="s">
        <v>103</v>
      </c>
      <c r="B170" s="4" t="s">
        <v>15</v>
      </c>
      <c r="C170" s="4" t="s">
        <v>20</v>
      </c>
      <c r="D170" s="4">
        <v>35</v>
      </c>
      <c r="E170" s="5">
        <v>44727</v>
      </c>
      <c r="F170" s="6">
        <v>40400</v>
      </c>
      <c r="G170" s="4" t="s">
        <v>21</v>
      </c>
      <c r="H170" s="4" t="s">
        <v>18</v>
      </c>
      <c r="I170" s="10">
        <f t="shared" ca="1" si="10"/>
        <v>3.3452054794520549</v>
      </c>
      <c r="J170" s="6">
        <f t="shared" ca="1" si="11"/>
        <v>1212</v>
      </c>
    </row>
    <row r="171" spans="1:10">
      <c r="A171" s="4" t="s">
        <v>104</v>
      </c>
      <c r="B171" s="4" t="s">
        <v>15</v>
      </c>
      <c r="C171" s="4" t="s">
        <v>25</v>
      </c>
      <c r="D171" s="4">
        <v>27</v>
      </c>
      <c r="E171" s="5">
        <v>44236</v>
      </c>
      <c r="F171" s="6">
        <v>91650</v>
      </c>
      <c r="G171" s="4" t="s">
        <v>17</v>
      </c>
      <c r="H171" s="4" t="s">
        <v>18</v>
      </c>
      <c r="I171" s="10">
        <f t="shared" ca="1" si="10"/>
        <v>4.6904109589041099</v>
      </c>
      <c r="J171" s="6">
        <f t="shared" ca="1" si="11"/>
        <v>2750</v>
      </c>
    </row>
    <row r="172" spans="1:10">
      <c r="A172" s="4" t="s">
        <v>105</v>
      </c>
      <c r="B172" s="4" t="s">
        <v>15</v>
      </c>
      <c r="C172" s="4" t="s">
        <v>16</v>
      </c>
      <c r="D172" s="4">
        <v>43</v>
      </c>
      <c r="E172" s="5">
        <v>44620</v>
      </c>
      <c r="F172" s="6">
        <v>36040</v>
      </c>
      <c r="G172" s="4" t="s">
        <v>21</v>
      </c>
      <c r="H172" s="4" t="s">
        <v>18</v>
      </c>
      <c r="I172" s="10">
        <f t="shared" ca="1" si="10"/>
        <v>3.6383561643835618</v>
      </c>
      <c r="J172" s="6">
        <f t="shared" ca="1" si="11"/>
        <v>1082</v>
      </c>
    </row>
    <row r="173" spans="1:10">
      <c r="A173" s="4" t="s">
        <v>106</v>
      </c>
      <c r="B173" s="4" t="s">
        <v>23</v>
      </c>
      <c r="C173" s="4" t="s">
        <v>31</v>
      </c>
      <c r="D173" s="4">
        <v>40</v>
      </c>
      <c r="E173" s="5">
        <v>44381</v>
      </c>
      <c r="F173" s="6">
        <v>104410</v>
      </c>
      <c r="G173" s="4" t="s">
        <v>21</v>
      </c>
      <c r="H173" s="4" t="s">
        <v>18</v>
      </c>
      <c r="I173" s="10">
        <f t="shared" ca="1" si="10"/>
        <v>4.2931506849315069</v>
      </c>
      <c r="J173" s="6">
        <f t="shared" ca="1" si="11"/>
        <v>3133</v>
      </c>
    </row>
    <row r="174" spans="1:10">
      <c r="A174" s="4" t="s">
        <v>107</v>
      </c>
      <c r="B174" s="4" t="s">
        <v>15</v>
      </c>
      <c r="C174" s="4" t="s">
        <v>25</v>
      </c>
      <c r="D174" s="4">
        <v>30</v>
      </c>
      <c r="E174" s="5">
        <v>44606</v>
      </c>
      <c r="F174" s="6">
        <v>96800</v>
      </c>
      <c r="G174" s="4" t="s">
        <v>21</v>
      </c>
      <c r="H174" s="4" t="s">
        <v>18</v>
      </c>
      <c r="I174" s="10">
        <f t="shared" ca="1" si="10"/>
        <v>3.6767123287671235</v>
      </c>
      <c r="J174" s="6">
        <f t="shared" ca="1" si="11"/>
        <v>2904</v>
      </c>
    </row>
    <row r="175" spans="1:10">
      <c r="A175" s="4" t="s">
        <v>108</v>
      </c>
      <c r="B175" s="4" t="s">
        <v>23</v>
      </c>
      <c r="C175" s="4" t="s">
        <v>25</v>
      </c>
      <c r="D175" s="4">
        <v>34</v>
      </c>
      <c r="E175" s="5">
        <v>44459</v>
      </c>
      <c r="F175" s="6">
        <v>85000</v>
      </c>
      <c r="G175" s="4" t="s">
        <v>21</v>
      </c>
      <c r="H175" s="4" t="s">
        <v>18</v>
      </c>
      <c r="I175" s="10">
        <f t="shared" ca="1" si="10"/>
        <v>4.0794520547945208</v>
      </c>
      <c r="J175" s="6">
        <f t="shared" ca="1" si="11"/>
        <v>2550</v>
      </c>
    </row>
    <row r="176" spans="1:10">
      <c r="A176" s="4" t="s">
        <v>109</v>
      </c>
      <c r="B176" s="4" t="s">
        <v>15</v>
      </c>
      <c r="C176" s="4" t="s">
        <v>16</v>
      </c>
      <c r="D176" s="4">
        <v>28</v>
      </c>
      <c r="E176" s="5">
        <v>44820</v>
      </c>
      <c r="F176" s="6">
        <v>43510</v>
      </c>
      <c r="G176" s="4" t="s">
        <v>57</v>
      </c>
      <c r="H176" s="4" t="s">
        <v>18</v>
      </c>
      <c r="I176" s="10">
        <f t="shared" ca="1" si="10"/>
        <v>3.0904109589041098</v>
      </c>
      <c r="J176" s="6">
        <f t="shared" ca="1" si="11"/>
        <v>1306</v>
      </c>
    </row>
    <row r="177" spans="1:10">
      <c r="A177" s="4" t="s">
        <v>110</v>
      </c>
      <c r="B177" s="4" t="s">
        <v>15</v>
      </c>
      <c r="C177" s="4" t="s">
        <v>25</v>
      </c>
      <c r="D177" s="4">
        <v>33</v>
      </c>
      <c r="E177" s="5">
        <v>44243</v>
      </c>
      <c r="F177" s="6">
        <v>59430</v>
      </c>
      <c r="G177" s="4" t="s">
        <v>21</v>
      </c>
      <c r="H177" s="4" t="s">
        <v>18</v>
      </c>
      <c r="I177" s="10">
        <f t="shared" ca="1" si="10"/>
        <v>4.6712328767123283</v>
      </c>
      <c r="J177" s="6">
        <f t="shared" ca="1" si="11"/>
        <v>1783</v>
      </c>
    </row>
    <row r="178" spans="1:10">
      <c r="A178" s="4" t="s">
        <v>111</v>
      </c>
      <c r="B178" s="4" t="s">
        <v>23</v>
      </c>
      <c r="C178" s="4" t="s">
        <v>25</v>
      </c>
      <c r="D178" s="4">
        <v>33</v>
      </c>
      <c r="E178" s="5">
        <v>44067</v>
      </c>
      <c r="F178" s="6">
        <v>65360</v>
      </c>
      <c r="G178" s="4" t="s">
        <v>21</v>
      </c>
      <c r="H178" s="4" t="s">
        <v>18</v>
      </c>
      <c r="I178" s="10">
        <f t="shared" ca="1" si="10"/>
        <v>5.1534246575342468</v>
      </c>
      <c r="J178" s="6">
        <f t="shared" ca="1" si="11"/>
        <v>1961</v>
      </c>
    </row>
    <row r="179" spans="1:10">
      <c r="A179" s="4" t="s">
        <v>112</v>
      </c>
      <c r="B179" s="4" t="s">
        <v>23</v>
      </c>
      <c r="C179" s="4" t="s">
        <v>20</v>
      </c>
      <c r="D179" s="4">
        <v>32</v>
      </c>
      <c r="E179" s="5">
        <v>44611</v>
      </c>
      <c r="F179" s="6">
        <v>41570</v>
      </c>
      <c r="G179" s="4" t="s">
        <v>21</v>
      </c>
      <c r="H179" s="4" t="s">
        <v>18</v>
      </c>
      <c r="I179" s="10">
        <f t="shared" ca="1" si="10"/>
        <v>3.6630136986301371</v>
      </c>
      <c r="J179" s="6">
        <f t="shared" ca="1" si="11"/>
        <v>1248</v>
      </c>
    </row>
    <row r="180" spans="1:10">
      <c r="A180" s="4" t="s">
        <v>113</v>
      </c>
      <c r="B180" s="4" t="s">
        <v>23</v>
      </c>
      <c r="C180" s="4" t="s">
        <v>31</v>
      </c>
      <c r="D180" s="4">
        <v>33</v>
      </c>
      <c r="E180" s="5">
        <v>44312</v>
      </c>
      <c r="F180" s="6">
        <v>75280</v>
      </c>
      <c r="G180" s="4" t="s">
        <v>21</v>
      </c>
      <c r="H180" s="4" t="s">
        <v>18</v>
      </c>
      <c r="I180" s="10">
        <f t="shared" ca="1" si="10"/>
        <v>4.4821917808219176</v>
      </c>
      <c r="J180" s="6">
        <f t="shared" ca="1" si="11"/>
        <v>2259</v>
      </c>
    </row>
    <row r="181" spans="1:10">
      <c r="A181" s="4" t="s">
        <v>114</v>
      </c>
      <c r="B181" s="4" t="s">
        <v>15</v>
      </c>
      <c r="C181" s="4" t="s">
        <v>16</v>
      </c>
      <c r="D181" s="4">
        <v>33</v>
      </c>
      <c r="E181" s="5">
        <v>44385</v>
      </c>
      <c r="F181" s="6">
        <v>74550</v>
      </c>
      <c r="G181" s="4" t="s">
        <v>21</v>
      </c>
      <c r="H181" s="4" t="s">
        <v>18</v>
      </c>
      <c r="I181" s="10">
        <f t="shared" ca="1" si="10"/>
        <v>4.2821917808219174</v>
      </c>
      <c r="J181" s="6">
        <f t="shared" ca="1" si="11"/>
        <v>2237</v>
      </c>
    </row>
    <row r="182" spans="1:10">
      <c r="A182" s="4" t="s">
        <v>115</v>
      </c>
      <c r="B182" s="4" t="s">
        <v>15</v>
      </c>
      <c r="C182" s="4" t="s">
        <v>20</v>
      </c>
      <c r="D182" s="4">
        <v>30</v>
      </c>
      <c r="E182" s="5">
        <v>44701</v>
      </c>
      <c r="F182" s="6">
        <v>67950</v>
      </c>
      <c r="G182" s="4" t="s">
        <v>21</v>
      </c>
      <c r="H182" s="4" t="s">
        <v>18</v>
      </c>
      <c r="I182" s="10">
        <f t="shared" ca="1" si="10"/>
        <v>3.4164383561643836</v>
      </c>
      <c r="J182" s="6">
        <f t="shared" ca="1" si="11"/>
        <v>2039</v>
      </c>
    </row>
    <row r="183" spans="1:10">
      <c r="A183" s="4" t="s">
        <v>116</v>
      </c>
      <c r="B183" s="4" t="s">
        <v>15</v>
      </c>
      <c r="C183" s="4" t="s">
        <v>25</v>
      </c>
      <c r="D183" s="4">
        <v>42</v>
      </c>
      <c r="E183" s="5">
        <v>44731</v>
      </c>
      <c r="F183" s="6">
        <v>70270</v>
      </c>
      <c r="G183" s="4" t="s">
        <v>26</v>
      </c>
      <c r="H183" s="4" t="s">
        <v>18</v>
      </c>
      <c r="I183" s="10">
        <f t="shared" ca="1" si="10"/>
        <v>3.3342465753424659</v>
      </c>
      <c r="J183" s="6">
        <f t="shared" ca="1" si="11"/>
        <v>2109</v>
      </c>
    </row>
    <row r="184" spans="1:10">
      <c r="A184" s="4" t="s">
        <v>117</v>
      </c>
      <c r="B184" s="4" t="s">
        <v>15</v>
      </c>
      <c r="C184" s="4" t="s">
        <v>20</v>
      </c>
      <c r="D184" s="4">
        <v>26</v>
      </c>
      <c r="E184" s="5">
        <v>44411</v>
      </c>
      <c r="F184" s="6">
        <v>53540</v>
      </c>
      <c r="G184" s="4" t="s">
        <v>21</v>
      </c>
      <c r="H184" s="4" t="s">
        <v>18</v>
      </c>
      <c r="I184" s="10">
        <f t="shared" ca="1" si="10"/>
        <v>4.2109589041095887</v>
      </c>
      <c r="J184" s="6">
        <f t="shared" ca="1" si="11"/>
        <v>1607</v>
      </c>
    </row>
  </sheetData>
  <autoFilter ref="A1:J184" xr:uid="{00000000-0009-0000-0000-000003000000}"/>
  <conditionalFormatting sqref="A94:A184">
    <cfRule type="duplicateValues" dxfId="2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topLeftCell="A10" workbookViewId="0">
      <selection activeCell="D27" sqref="D27"/>
    </sheetView>
  </sheetViews>
  <sheetFormatPr defaultColWidth="8.88671875" defaultRowHeight="14.4"/>
  <cols>
    <col min="1" max="1" width="26.109375" customWidth="1"/>
    <col min="2" max="2" width="43.44140625" customWidth="1"/>
    <col min="4" max="4" width="12.6640625" customWidth="1"/>
    <col min="9" max="9" width="12.88671875"/>
  </cols>
  <sheetData>
    <row r="1" spans="1:14" ht="23.4">
      <c r="A1" s="35">
        <v>1</v>
      </c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>
      <c r="A2" s="38" t="s">
        <v>216</v>
      </c>
      <c r="B2" s="38">
        <f>COUNTA('Total staff'!A2:A184)</f>
        <v>183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8">
      <c r="A3" s="38" t="s">
        <v>217</v>
      </c>
      <c r="B3" s="39">
        <f t="array" ref="B3">AVERAGE('Total staff'!F2:F184)</f>
        <v>77173.715846994499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ht="18">
      <c r="A4" s="38" t="s">
        <v>218</v>
      </c>
      <c r="B4" s="40">
        <f t="array" ref="B4">AVERAGE('Total staff'!D2:D184)</f>
        <v>30.426229508196698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18">
      <c r="A5" s="38" t="s">
        <v>219</v>
      </c>
      <c r="B5" s="41">
        <f ca="1">AVERAGE('Total staff'!I2:I184)</f>
        <v>4.1505951044239859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14" ht="18">
      <c r="A6" s="38" t="s">
        <v>220</v>
      </c>
      <c r="B6" s="42">
        <f>COUNTIF('Total staff'!B2:B184,"Female")</f>
        <v>86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ht="18">
      <c r="A7" s="38" t="s">
        <v>221</v>
      </c>
      <c r="B7" s="43">
        <f>B6/B2</f>
        <v>0.46994535519125702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ht="18">
      <c r="A8" s="38" t="s">
        <v>222</v>
      </c>
      <c r="B8" s="39">
        <f>MEDIAN('Total staff'!F2:F184)</f>
        <v>75000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4" ht="18">
      <c r="A9" s="38" t="s">
        <v>223</v>
      </c>
      <c r="B9" s="38">
        <f>MEDIAN('Total staff'!D2:D184)</f>
        <v>30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4" ht="18">
      <c r="A10" s="38" t="s">
        <v>224</v>
      </c>
      <c r="B10" s="38">
        <f>COUNTIF('Total staff'!F2:F184,"&gt;=90000")</f>
        <v>63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14" ht="18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14" ht="1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4" ht="23.4">
      <c r="A13" s="30">
        <v>2</v>
      </c>
      <c r="B13" s="44" t="s">
        <v>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18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1:14" ht="18">
      <c r="A15" s="37"/>
      <c r="B15" s="38" t="s">
        <v>136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14" ht="18">
      <c r="A16" s="37" t="s">
        <v>225</v>
      </c>
      <c r="B16" s="37" t="str" cm="1">
        <f t="array" ref="B16:I16">VLOOKUP(B15,'Total staff'!A1:I184,{2,3,4,5,6,7,8,9},FALSE)</f>
        <v>Male</v>
      </c>
      <c r="C16" s="37" t="str">
        <v>Website</v>
      </c>
      <c r="D16" s="37">
        <v>30</v>
      </c>
      <c r="E16" s="37">
        <v>44789</v>
      </c>
      <c r="F16" s="37">
        <v>69710</v>
      </c>
      <c r="G16" s="37" t="str">
        <v>Average</v>
      </c>
      <c r="H16" s="37" t="str">
        <v>IND</v>
      </c>
      <c r="I16" s="37">
        <v>2.70684931506849</v>
      </c>
      <c r="J16" s="37"/>
      <c r="K16" s="37"/>
      <c r="L16" s="37"/>
      <c r="M16" s="37"/>
      <c r="N16" s="37"/>
    </row>
    <row r="17" spans="1:14" ht="18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 ht="18">
      <c r="B18" s="5">
        <v>44665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18">
      <c r="A19" s="37" t="s">
        <v>226</v>
      </c>
      <c r="B19" s="37" t="str">
        <f>_xlfn.XLOOKUP(B18,'Total staff'!E2:E184,'Total staff'!A2:A184)</f>
        <v>Damayanti Thangavadivelu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2" spans="1:14" ht="23.4">
      <c r="A22" s="30">
        <v>3</v>
      </c>
      <c r="B22" s="44" t="s">
        <v>2</v>
      </c>
    </row>
    <row r="25" spans="1:14" ht="18">
      <c r="A25" s="37" t="s">
        <v>227</v>
      </c>
      <c r="B25" s="38" t="s">
        <v>228</v>
      </c>
      <c r="D25" s="45" t="s">
        <v>229</v>
      </c>
      <c r="E25" s="46"/>
      <c r="F25" s="46"/>
      <c r="G25" s="46"/>
      <c r="H25" s="46"/>
      <c r="I25" s="46"/>
      <c r="J25" s="47"/>
      <c r="K25" s="48"/>
    </row>
    <row r="26" spans="1:14" ht="18">
      <c r="A26" s="37" t="s">
        <v>230</v>
      </c>
      <c r="B26" s="37">
        <f>COUNTIF('Total staff'!C2:C184,B25)</f>
        <v>28</v>
      </c>
    </row>
    <row r="27" spans="1:14">
      <c r="A27">
        <v>1</v>
      </c>
      <c r="B27">
        <v>2</v>
      </c>
      <c r="C27">
        <v>3</v>
      </c>
      <c r="D27">
        <v>4</v>
      </c>
      <c r="E27">
        <v>5</v>
      </c>
      <c r="F27">
        <v>6</v>
      </c>
      <c r="G27">
        <v>7</v>
      </c>
      <c r="H27">
        <v>8</v>
      </c>
      <c r="I27">
        <v>9</v>
      </c>
    </row>
    <row r="28" spans="1:14">
      <c r="A28" s="4" t="e" cm="1">
        <f t="array" ref="A28:D55" ca="1">_xlfn._xlws.SORT(_xlfn.CHOOSECOLS(_xlfn._xlws.FILTER('Total staff'!A2:I184,'Total staff'!C2:C184=B25,"No match found"),1,4,5,7),3,-1)</f>
        <v>#NAME?</v>
      </c>
      <c r="B28" s="4">
        <v>28</v>
      </c>
      <c r="C28" s="4">
        <v>44820</v>
      </c>
      <c r="D28" s="4" t="str">
        <v>Very poor</v>
      </c>
    </row>
    <row r="29" spans="1:14">
      <c r="A29" s="4" t="str">
        <v>Rupak Mehra</v>
      </c>
      <c r="B29" s="4">
        <v>28</v>
      </c>
      <c r="C29" s="4">
        <v>44758</v>
      </c>
      <c r="D29" s="4" t="str">
        <v>Very poor</v>
      </c>
    </row>
    <row r="30" spans="1:14">
      <c r="A30" s="4" t="str">
        <v>Violante Courtonne</v>
      </c>
      <c r="B30" s="4">
        <v>34</v>
      </c>
      <c r="C30" s="4">
        <v>44721</v>
      </c>
      <c r="D30" s="4" t="str">
        <v>Poor</v>
      </c>
    </row>
    <row r="31" spans="1:14">
      <c r="A31" s="4" t="str">
        <v>Daruka Ghazali</v>
      </c>
      <c r="B31" s="4">
        <v>34</v>
      </c>
      <c r="C31" s="4">
        <v>44660</v>
      </c>
      <c r="D31" s="4" t="str">
        <v>Poor</v>
      </c>
    </row>
    <row r="32" spans="1:14">
      <c r="A32" s="4" t="str">
        <v>Bili Sizey</v>
      </c>
      <c r="B32" s="4">
        <v>43</v>
      </c>
      <c r="C32" s="4">
        <v>44620</v>
      </c>
      <c r="D32" s="4" t="str">
        <v>Average</v>
      </c>
    </row>
    <row r="33" spans="1:4">
      <c r="A33" s="4" t="str">
        <v>Waheeda Vasuman</v>
      </c>
      <c r="B33" s="4">
        <v>43</v>
      </c>
      <c r="C33" s="4">
        <v>44558</v>
      </c>
      <c r="D33" s="4" t="str">
        <v>Average</v>
      </c>
    </row>
    <row r="34" spans="1:4">
      <c r="A34" s="4" t="str">
        <v>Hyacinthie Braybrooke</v>
      </c>
      <c r="B34" s="4">
        <v>20</v>
      </c>
      <c r="C34" s="4">
        <v>44537</v>
      </c>
      <c r="D34" s="4" t="str">
        <v>Poor</v>
      </c>
    </row>
    <row r="35" spans="1:4">
      <c r="A35" s="4" t="str">
        <v>Gray Seamon</v>
      </c>
      <c r="B35" s="4">
        <v>36</v>
      </c>
      <c r="C35" s="4">
        <v>44494</v>
      </c>
      <c r="D35" s="4" t="str">
        <v>Average</v>
      </c>
    </row>
    <row r="36" spans="1:4">
      <c r="A36" s="4" t="str">
        <v>Devasree Fullara Saurin</v>
      </c>
      <c r="B36" s="4">
        <v>20</v>
      </c>
      <c r="C36" s="4">
        <v>44476</v>
      </c>
      <c r="D36" s="4" t="str">
        <v>Poor</v>
      </c>
    </row>
    <row r="37" spans="1:4">
      <c r="A37" s="4" t="str">
        <v>Hoyt D'Alesco</v>
      </c>
      <c r="B37" s="4">
        <v>32</v>
      </c>
      <c r="C37" s="4">
        <v>44465</v>
      </c>
      <c r="D37" s="4" t="str">
        <v>Average</v>
      </c>
    </row>
    <row r="38" spans="1:4">
      <c r="A38" s="4" t="str">
        <v>Lindy Guillet</v>
      </c>
      <c r="B38" s="4">
        <v>22</v>
      </c>
      <c r="C38" s="4">
        <v>44446</v>
      </c>
      <c r="D38" s="4" t="str">
        <v>Above average</v>
      </c>
    </row>
    <row r="39" spans="1:4">
      <c r="A39" s="4" t="str">
        <v>Shulabh Qutub Sundaramoorthy</v>
      </c>
      <c r="B39" s="4">
        <v>36</v>
      </c>
      <c r="C39" s="4">
        <v>44433</v>
      </c>
      <c r="D39" s="4" t="str">
        <v>Average</v>
      </c>
    </row>
    <row r="40" spans="1:4">
      <c r="A40" s="4" t="str">
        <v>Geena Raghavanpillai</v>
      </c>
      <c r="B40" s="4">
        <v>32</v>
      </c>
      <c r="C40" s="4">
        <v>44403</v>
      </c>
      <c r="D40" s="4" t="str">
        <v>Average</v>
      </c>
    </row>
    <row r="41" spans="1:4">
      <c r="A41" s="4" t="str">
        <v>Gigi Bohling</v>
      </c>
      <c r="B41" s="4">
        <v>33</v>
      </c>
      <c r="C41" s="4">
        <v>44385</v>
      </c>
      <c r="D41" s="4" t="str">
        <v>Average</v>
      </c>
    </row>
    <row r="42" spans="1:4">
      <c r="A42" s="4" t="str">
        <v>Krishnakanta Vellanki</v>
      </c>
      <c r="B42" s="4">
        <v>22</v>
      </c>
      <c r="C42" s="4">
        <v>44384</v>
      </c>
      <c r="D42" s="4" t="str">
        <v>Above average</v>
      </c>
    </row>
    <row r="43" spans="1:4">
      <c r="A43" s="4" t="str">
        <v>Kath Bletsoe</v>
      </c>
      <c r="B43" s="4">
        <v>25</v>
      </c>
      <c r="C43" s="4">
        <v>44383</v>
      </c>
      <c r="D43" s="4" t="str">
        <v>Average</v>
      </c>
    </row>
    <row r="44" spans="1:4">
      <c r="A44" s="4" t="str">
        <v>Rafaelita Blaksland</v>
      </c>
      <c r="B44" s="4">
        <v>38</v>
      </c>
      <c r="C44" s="4">
        <v>44377</v>
      </c>
      <c r="D44" s="4" t="str">
        <v>Exceptional</v>
      </c>
    </row>
    <row r="45" spans="1:4">
      <c r="A45" s="4" t="str">
        <v>Tatum Hush</v>
      </c>
      <c r="B45" s="4">
        <v>28</v>
      </c>
      <c r="C45" s="4">
        <v>44357</v>
      </c>
      <c r="D45" s="4" t="str">
        <v>Average</v>
      </c>
    </row>
    <row r="46" spans="1:4">
      <c r="A46" s="4" t="str">
        <v>Oran Buxcy</v>
      </c>
      <c r="B46" s="4">
        <v>38</v>
      </c>
      <c r="C46" s="4">
        <v>44329</v>
      </c>
      <c r="D46" s="4" t="str">
        <v>Above average</v>
      </c>
    </row>
    <row r="47" spans="1:4">
      <c r="A47" s="4" t="str">
        <v>Yauvani Tarpa</v>
      </c>
      <c r="B47" s="4">
        <v>33</v>
      </c>
      <c r="C47" s="4">
        <v>44324</v>
      </c>
      <c r="D47" s="4" t="str">
        <v>Average</v>
      </c>
    </row>
    <row r="48" spans="1:4">
      <c r="A48" s="4" t="str">
        <v>Abhaya Priyavardhan</v>
      </c>
      <c r="B48" s="4">
        <v>25</v>
      </c>
      <c r="C48" s="4">
        <v>44322</v>
      </c>
      <c r="D48" s="4" t="str">
        <v>Average</v>
      </c>
    </row>
    <row r="49" spans="1:4">
      <c r="A49" s="4" t="str">
        <v>Sawini Chandan</v>
      </c>
      <c r="B49" s="4">
        <v>38</v>
      </c>
      <c r="C49" s="4">
        <v>44316</v>
      </c>
      <c r="D49" s="4" t="str">
        <v>Exceptional</v>
      </c>
    </row>
    <row r="50" spans="1:4">
      <c r="A50" s="4" t="str">
        <v>Anumati Shyamari Meherhomji</v>
      </c>
      <c r="B50" s="4">
        <v>28</v>
      </c>
      <c r="C50" s="4">
        <v>44296</v>
      </c>
      <c r="D50" s="4" t="str">
        <v>Average</v>
      </c>
    </row>
    <row r="51" spans="1:4">
      <c r="A51" s="4" t="str">
        <v>Mirium Seemantini Shivakumar</v>
      </c>
      <c r="B51" s="4">
        <v>38</v>
      </c>
      <c r="C51" s="4">
        <v>44268</v>
      </c>
      <c r="D51" s="4" t="str">
        <v>Above average</v>
      </c>
    </row>
    <row r="52" spans="1:4">
      <c r="A52" s="4" t="str">
        <v>Hinda Label</v>
      </c>
      <c r="B52" s="4">
        <v>25</v>
      </c>
      <c r="C52" s="4">
        <v>44205</v>
      </c>
      <c r="D52" s="4" t="str">
        <v>Average</v>
      </c>
    </row>
    <row r="53" spans="1:4">
      <c r="A53" s="4" t="str">
        <v>Purnendu Vijayarangan</v>
      </c>
      <c r="B53" s="4">
        <v>25</v>
      </c>
      <c r="C53" s="4">
        <v>44144</v>
      </c>
      <c r="D53" s="4" t="str">
        <v>Average</v>
      </c>
    </row>
    <row r="54" spans="1:4">
      <c r="A54" s="4" t="str">
        <v>Alta Kaszper</v>
      </c>
      <c r="B54" s="4">
        <v>27</v>
      </c>
      <c r="C54" s="4">
        <v>44134</v>
      </c>
      <c r="D54" s="4" t="str">
        <v>Average</v>
      </c>
    </row>
    <row r="55" spans="1:4">
      <c r="A55" s="4" t="str">
        <v>Sanchali Shirish</v>
      </c>
      <c r="B55" s="4">
        <v>27</v>
      </c>
      <c r="C55" s="4">
        <v>44073</v>
      </c>
      <c r="D55" s="4" t="str">
        <v>Average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1"/>
  <sheetViews>
    <sheetView workbookViewId="0">
      <selection activeCell="H19" sqref="H19"/>
    </sheetView>
  </sheetViews>
  <sheetFormatPr defaultColWidth="8.88671875" defaultRowHeight="14.4"/>
  <cols>
    <col min="3" max="3" width="16" bestFit="1" customWidth="1"/>
    <col min="4" max="5" width="12" bestFit="1" customWidth="1"/>
    <col min="6" max="7" width="12.88671875"/>
    <col min="8" max="8" width="14.6640625"/>
    <col min="9" max="9" width="19.88671875"/>
    <col min="10" max="10" width="19.6640625"/>
  </cols>
  <sheetData>
    <row r="2" spans="1:5" ht="23.4">
      <c r="A2" s="30">
        <v>4</v>
      </c>
      <c r="B2" s="31" t="s">
        <v>231</v>
      </c>
      <c r="C2" s="32"/>
      <c r="D2" s="33"/>
    </row>
    <row r="6" spans="1:5">
      <c r="D6" s="58" t="s">
        <v>7</v>
      </c>
    </row>
    <row r="7" spans="1:5">
      <c r="C7" s="58" t="s">
        <v>232</v>
      </c>
      <c r="D7" t="s">
        <v>23</v>
      </c>
      <c r="E7" t="s">
        <v>15</v>
      </c>
    </row>
    <row r="8" spans="1:5">
      <c r="C8" t="s">
        <v>233</v>
      </c>
      <c r="D8" s="13">
        <v>43</v>
      </c>
      <c r="E8" s="13">
        <v>44</v>
      </c>
    </row>
    <row r="9" spans="1:5">
      <c r="C9" t="s">
        <v>234</v>
      </c>
      <c r="D9" s="13">
        <v>31.395348837209301</v>
      </c>
      <c r="E9" s="13">
        <v>29.34090909090909</v>
      </c>
    </row>
    <row r="10" spans="1:5">
      <c r="C10" t="s">
        <v>235</v>
      </c>
      <c r="D10" s="34">
        <v>78284.186046511633</v>
      </c>
      <c r="E10" s="34">
        <v>74486.363636363632</v>
      </c>
    </row>
    <row r="11" spans="1:5">
      <c r="C11" t="s">
        <v>236</v>
      </c>
      <c r="D11" s="13">
        <v>3.5410003185727934</v>
      </c>
      <c r="E11" s="13">
        <v>3.5380448318804483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56"/>
  <sheetViews>
    <sheetView topLeftCell="N103" workbookViewId="0">
      <selection activeCell="V105" sqref="V105"/>
    </sheetView>
  </sheetViews>
  <sheetFormatPr defaultColWidth="8.88671875" defaultRowHeight="13.5" customHeight="1"/>
  <cols>
    <col min="1" max="1" width="29.6640625" customWidth="1"/>
    <col min="2" max="2" width="52.44140625" customWidth="1"/>
    <col min="3" max="3" width="12.44140625" customWidth="1"/>
    <col min="5" max="5" width="12.88671875" customWidth="1"/>
    <col min="6" max="6" width="11.88671875" customWidth="1"/>
    <col min="7" max="7" width="14.109375" customWidth="1"/>
    <col min="10" max="10" width="9.6640625"/>
    <col min="11" max="11" width="14.109375" customWidth="1"/>
    <col min="14" max="14" width="12" customWidth="1"/>
    <col min="15" max="16" width="10.21875" customWidth="1"/>
    <col min="17" max="17" width="12.77734375" customWidth="1"/>
    <col min="18" max="18" width="20.88671875" customWidth="1"/>
    <col min="19" max="19" width="4.33203125" customWidth="1"/>
    <col min="20" max="20" width="19.5546875" customWidth="1"/>
    <col min="21" max="21" width="15" customWidth="1"/>
    <col min="22" max="22" width="24" customWidth="1"/>
    <col min="23" max="24" width="16.88671875" customWidth="1"/>
    <col min="25" max="25" width="3.44140625" customWidth="1"/>
    <col min="26" max="26" width="16.44140625" customWidth="1"/>
    <col min="27" max="27" width="12.77734375" customWidth="1"/>
    <col min="28" max="28" width="19" customWidth="1"/>
    <col min="29" max="29" width="25.33203125" customWidth="1"/>
    <col min="30" max="30" width="13.77734375" customWidth="1"/>
    <col min="31" max="31" width="14.44140625" customWidth="1"/>
    <col min="32" max="32" width="17" customWidth="1"/>
    <col min="33" max="33" width="11.33203125" customWidth="1"/>
    <col min="34" max="34" width="11.44140625" customWidth="1"/>
    <col min="35" max="35" width="11" customWidth="1"/>
    <col min="36" max="36" width="14.88671875" customWidth="1"/>
    <col min="37" max="37" width="12" customWidth="1"/>
    <col min="38" max="38" width="10.109375" customWidth="1"/>
    <col min="39" max="39" width="12.77734375" customWidth="1"/>
    <col min="40" max="40" width="10.44140625" customWidth="1"/>
    <col min="41" max="41" width="7.77734375" customWidth="1"/>
    <col min="42" max="42" width="9.77734375" customWidth="1"/>
    <col min="43" max="43" width="11.88671875" customWidth="1"/>
    <col min="44" max="44" width="11.33203125" customWidth="1"/>
    <col min="45" max="45" width="22.21875" customWidth="1"/>
    <col min="46" max="46" width="12.21875" customWidth="1"/>
    <col min="47" max="47" width="11" customWidth="1"/>
    <col min="48" max="48" width="12" customWidth="1"/>
    <col min="49" max="49" width="11" customWidth="1"/>
    <col min="50" max="50" width="15.88671875" customWidth="1"/>
    <col min="51" max="51" width="11.44140625" customWidth="1"/>
    <col min="52" max="52" width="12.33203125" customWidth="1"/>
    <col min="53" max="53" width="22.109375" customWidth="1"/>
    <col min="54" max="54" width="12.77734375" customWidth="1"/>
    <col min="55" max="56" width="12.88671875" customWidth="1"/>
    <col min="57" max="57" width="9.88671875" customWidth="1"/>
    <col min="58" max="58" width="17.33203125" customWidth="1"/>
    <col min="59" max="59" width="19.33203125" customWidth="1"/>
    <col min="60" max="60" width="14.88671875" customWidth="1"/>
    <col min="61" max="61" width="12" customWidth="1"/>
    <col min="62" max="62" width="14.77734375" customWidth="1"/>
    <col min="63" max="63" width="12.6640625" customWidth="1"/>
    <col min="64" max="64" width="14.77734375" customWidth="1"/>
    <col min="65" max="65" width="10.44140625" customWidth="1"/>
    <col min="66" max="66" width="12.21875" customWidth="1"/>
    <col min="67" max="67" width="11.33203125" customWidth="1"/>
    <col min="68" max="68" width="15.88671875" customWidth="1"/>
    <col min="69" max="69" width="12.33203125" customWidth="1"/>
    <col min="70" max="70" width="12.109375" customWidth="1"/>
    <col min="71" max="71" width="19.88671875" customWidth="1"/>
    <col min="72" max="72" width="14.44140625" customWidth="1"/>
    <col min="73" max="73" width="17.88671875" customWidth="1"/>
    <col min="74" max="74" width="10.21875" customWidth="1"/>
    <col min="75" max="75" width="13.33203125" customWidth="1"/>
    <col min="76" max="76" width="11.33203125" customWidth="1"/>
    <col min="77" max="77" width="13.88671875" customWidth="1"/>
    <col min="78" max="78" width="13.77734375" customWidth="1"/>
    <col min="79" max="80" width="14.33203125" customWidth="1"/>
    <col min="81" max="81" width="13.33203125" customWidth="1"/>
    <col min="82" max="82" width="15.6640625" customWidth="1"/>
    <col min="83" max="83" width="10.109375" customWidth="1"/>
    <col min="84" max="84" width="9.109375" customWidth="1"/>
    <col min="85" max="85" width="11.88671875" customWidth="1"/>
    <col min="86" max="86" width="18" customWidth="1"/>
    <col min="87" max="87" width="11.33203125" customWidth="1"/>
    <col min="88" max="88" width="18.77734375" customWidth="1"/>
    <col min="89" max="89" width="12.33203125" customWidth="1"/>
    <col min="90" max="90" width="17.21875" customWidth="1"/>
    <col min="91" max="91" width="11.44140625" customWidth="1"/>
    <col min="92" max="92" width="19" customWidth="1"/>
    <col min="93" max="93" width="11.21875" customWidth="1"/>
    <col min="94" max="94" width="13.21875" customWidth="1"/>
    <col min="95" max="95" width="12.88671875" customWidth="1"/>
    <col min="96" max="96" width="10.109375" customWidth="1"/>
    <col min="97" max="98" width="18.88671875" customWidth="1"/>
    <col min="99" max="99" width="13.88671875" customWidth="1"/>
    <col min="100" max="100" width="14.44140625" customWidth="1"/>
    <col min="101" max="101" width="16.109375" customWidth="1"/>
    <col min="102" max="102" width="10.77734375" customWidth="1"/>
    <col min="103" max="103" width="10.88671875" customWidth="1"/>
    <col min="104" max="104" width="11.6640625" customWidth="1"/>
    <col min="105" max="105" width="12" customWidth="1"/>
    <col min="106" max="106" width="11" customWidth="1"/>
    <col min="107" max="107" width="16.33203125" customWidth="1"/>
    <col min="108" max="108" width="14.44140625" customWidth="1"/>
    <col min="109" max="109" width="17.88671875" customWidth="1"/>
    <col min="110" max="110" width="14.44140625" customWidth="1"/>
    <col min="111" max="111" width="17.44140625" customWidth="1"/>
    <col min="112" max="112" width="18.6640625" customWidth="1"/>
    <col min="113" max="113" width="10.44140625" customWidth="1"/>
    <col min="114" max="114" width="11.6640625" customWidth="1"/>
    <col min="115" max="115" width="11.109375" customWidth="1"/>
    <col min="116" max="116" width="10.77734375" customWidth="1"/>
    <col min="117" max="117" width="14.6640625" customWidth="1"/>
    <col min="118" max="118" width="16.6640625" customWidth="1"/>
    <col min="119" max="119" width="17.6640625" customWidth="1"/>
    <col min="120" max="120" width="23.21875" customWidth="1"/>
    <col min="121" max="121" width="13.44140625" customWidth="1"/>
    <col min="122" max="122" width="18" customWidth="1"/>
    <col min="123" max="124" width="13.21875" customWidth="1"/>
    <col min="125" max="125" width="12.6640625" customWidth="1"/>
    <col min="126" max="126" width="17" customWidth="1"/>
    <col min="127" max="127" width="13.77734375" customWidth="1"/>
    <col min="128" max="128" width="13.109375" customWidth="1"/>
    <col min="129" max="129" width="25.6640625" customWidth="1"/>
    <col min="130" max="130" width="13.21875" customWidth="1"/>
    <col min="131" max="131" width="12.77734375" customWidth="1"/>
    <col min="132" max="132" width="13.6640625" customWidth="1"/>
    <col min="133" max="133" width="12.109375" customWidth="1"/>
    <col min="134" max="134" width="11.44140625" customWidth="1"/>
    <col min="135" max="135" width="11.109375" customWidth="1"/>
    <col min="136" max="136" width="13.88671875" customWidth="1"/>
    <col min="137" max="137" width="12.109375" customWidth="1"/>
    <col min="138" max="138" width="9.21875" customWidth="1"/>
    <col min="139" max="139" width="9.88671875" customWidth="1"/>
    <col min="140" max="140" width="10.21875" customWidth="1"/>
    <col min="141" max="141" width="15.6640625" customWidth="1"/>
    <col min="142" max="142" width="12.109375" customWidth="1"/>
    <col min="143" max="143" width="12.21875" customWidth="1"/>
    <col min="144" max="144" width="13" customWidth="1"/>
    <col min="145" max="145" width="19.21875" customWidth="1"/>
    <col min="146" max="146" width="15.88671875" customWidth="1"/>
    <col min="147" max="147" width="16.88671875" customWidth="1"/>
    <col min="148" max="148" width="13.44140625" customWidth="1"/>
    <col min="149" max="149" width="21.33203125" customWidth="1"/>
    <col min="150" max="150" width="14.21875" customWidth="1"/>
    <col min="151" max="152" width="11.44140625" customWidth="1"/>
    <col min="153" max="153" width="10.21875" customWidth="1"/>
    <col min="154" max="154" width="19" customWidth="1"/>
    <col min="155" max="155" width="17.77734375" customWidth="1"/>
    <col min="156" max="156" width="19.44140625" customWidth="1"/>
    <col min="157" max="157" width="13.109375" customWidth="1"/>
    <col min="158" max="158" width="16.109375" customWidth="1"/>
    <col min="159" max="159" width="17.109375" customWidth="1"/>
    <col min="160" max="160" width="11" customWidth="1"/>
    <col min="161" max="161" width="17.88671875" customWidth="1"/>
    <col min="162" max="162" width="13.33203125" customWidth="1"/>
    <col min="163" max="163" width="10.88671875" customWidth="1"/>
    <col min="164" max="164" width="12.77734375" customWidth="1"/>
    <col min="165" max="165" width="11.88671875" customWidth="1"/>
    <col min="166" max="166" width="13.33203125" customWidth="1"/>
    <col min="167" max="167" width="17" customWidth="1"/>
    <col min="168" max="168" width="10.44140625" customWidth="1"/>
    <col min="169" max="169" width="15" customWidth="1"/>
    <col min="170" max="170" width="19.44140625" customWidth="1"/>
    <col min="171" max="171" width="12" customWidth="1"/>
    <col min="172" max="172" width="26.21875" customWidth="1"/>
    <col min="173" max="173" width="11.21875" customWidth="1"/>
    <col min="174" max="174" width="13.21875" customWidth="1"/>
    <col min="175" max="175" width="20.44140625" customWidth="1"/>
    <col min="176" max="176" width="16.77734375" customWidth="1"/>
    <col min="177" max="177" width="11.88671875" customWidth="1"/>
    <col min="178" max="178" width="10.33203125" customWidth="1"/>
    <col min="179" max="179" width="12" customWidth="1"/>
    <col min="180" max="180" width="12.44140625" customWidth="1"/>
    <col min="181" max="181" width="13.33203125" customWidth="1"/>
    <col min="182" max="182" width="10.44140625" customWidth="1"/>
    <col min="183" max="183" width="11" customWidth="1"/>
    <col min="184" max="184" width="12.44140625" customWidth="1"/>
    <col min="185" max="185" width="15" customWidth="1"/>
    <col min="186" max="186" width="10.44140625" customWidth="1"/>
    <col min="187" max="187" width="16.6640625" customWidth="1"/>
    <col min="188" max="188" width="10.88671875" customWidth="1"/>
    <col min="190" max="190" width="15.109375" customWidth="1"/>
    <col min="191" max="191" width="16.21875" customWidth="1"/>
    <col min="192" max="192" width="16" customWidth="1"/>
    <col min="193" max="193" width="16.109375" customWidth="1"/>
    <col min="194" max="194" width="14.44140625" customWidth="1"/>
    <col min="195" max="195" width="12.21875" customWidth="1"/>
    <col min="196" max="196" width="11.21875" customWidth="1"/>
    <col min="197" max="197" width="12" customWidth="1"/>
    <col min="198" max="198" width="9.44140625" customWidth="1"/>
    <col min="199" max="199" width="10.21875" customWidth="1"/>
  </cols>
  <sheetData>
    <row r="1" spans="1:20" ht="21">
      <c r="A1" s="1">
        <v>1</v>
      </c>
      <c r="B1" s="1" t="s">
        <v>237</v>
      </c>
      <c r="C1" s="2"/>
      <c r="D1" s="2"/>
      <c r="E1" s="2"/>
    </row>
    <row r="2" spans="1:20" ht="21">
      <c r="A2" s="1">
        <v>2</v>
      </c>
      <c r="B2" s="1" t="s">
        <v>238</v>
      </c>
      <c r="C2" s="2"/>
      <c r="D2" s="2"/>
      <c r="E2" s="2"/>
    </row>
    <row r="3" spans="1:20" ht="21">
      <c r="A3" s="1">
        <v>3</v>
      </c>
      <c r="B3" s="1" t="s">
        <v>239</v>
      </c>
      <c r="C3" s="2"/>
      <c r="D3" s="2"/>
      <c r="E3" s="2"/>
    </row>
    <row r="4" spans="1:20" ht="22.5" customHeight="1">
      <c r="A4" s="1">
        <v>4</v>
      </c>
      <c r="B4" s="1" t="s">
        <v>240</v>
      </c>
      <c r="C4" s="2"/>
      <c r="D4" s="2"/>
      <c r="E4" s="2"/>
      <c r="Q4" s="12" t="s">
        <v>237</v>
      </c>
      <c r="R4" s="16"/>
      <c r="S4" s="16"/>
      <c r="T4" s="17"/>
    </row>
    <row r="5" spans="1:20" ht="14.4"/>
    <row r="7" spans="1:20" ht="14.4"/>
    <row r="8" spans="1:20" ht="14.4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211</v>
      </c>
      <c r="J8" s="7" t="s">
        <v>212</v>
      </c>
      <c r="K8" s="8" t="s">
        <v>241</v>
      </c>
      <c r="L8" s="9" t="s">
        <v>242</v>
      </c>
    </row>
    <row r="9" spans="1:20" ht="14.4">
      <c r="A9" s="4" t="s">
        <v>162</v>
      </c>
      <c r="B9" s="4" t="s">
        <v>23</v>
      </c>
      <c r="C9" s="4" t="s">
        <v>31</v>
      </c>
      <c r="D9" s="4">
        <v>21</v>
      </c>
      <c r="E9" s="5">
        <v>44619</v>
      </c>
      <c r="F9" s="6">
        <v>33920</v>
      </c>
      <c r="G9" s="4" t="s">
        <v>21</v>
      </c>
      <c r="H9" s="4" t="s">
        <v>119</v>
      </c>
      <c r="I9" s="10">
        <f t="shared" ref="I9:I72" ca="1" si="0">(TODAY()-E9)/365</f>
        <v>3.6410958904109587</v>
      </c>
      <c r="J9" s="11">
        <f t="shared" ref="J9:J72" ca="1" si="1">ROUNDUP(IF(I9&gt;3,3%,2%)*F9,0)</f>
        <v>1018</v>
      </c>
      <c r="K9" s="8">
        <f>_xlfn.XLOOKUP(G9,$R$36:$R$40,$T$36:$T$40)</f>
        <v>3</v>
      </c>
      <c r="L9" s="9">
        <f>YEAR(E9)</f>
        <v>2022</v>
      </c>
    </row>
    <row r="10" spans="1:20" ht="14.4">
      <c r="A10" s="4" t="s">
        <v>101</v>
      </c>
      <c r="B10" s="4" t="s">
        <v>23</v>
      </c>
      <c r="C10" s="4" t="s">
        <v>31</v>
      </c>
      <c r="D10" s="4">
        <v>21</v>
      </c>
      <c r="E10" s="5">
        <v>44678</v>
      </c>
      <c r="F10" s="6">
        <v>33920</v>
      </c>
      <c r="G10" s="4" t="s">
        <v>21</v>
      </c>
      <c r="H10" s="4" t="s">
        <v>18</v>
      </c>
      <c r="I10" s="10">
        <f t="shared" ca="1" si="0"/>
        <v>3.4794520547945207</v>
      </c>
      <c r="J10" s="11">
        <f t="shared" ca="1" si="1"/>
        <v>1018</v>
      </c>
      <c r="K10" s="8">
        <f t="shared" ref="K10:K73" si="2">_xlfn.XLOOKUP(G10,$R$36:$R$40,$T$36:$T$40)</f>
        <v>3</v>
      </c>
      <c r="L10" s="9">
        <f t="shared" ref="L10:L73" si="3">YEAR(E10)</f>
        <v>2022</v>
      </c>
    </row>
    <row r="11" spans="1:20" ht="14.4">
      <c r="A11" s="4" t="s">
        <v>199</v>
      </c>
      <c r="B11" s="4" t="s">
        <v>23</v>
      </c>
      <c r="C11" s="4" t="s">
        <v>31</v>
      </c>
      <c r="D11" s="4">
        <v>29</v>
      </c>
      <c r="E11" s="5">
        <v>43962</v>
      </c>
      <c r="F11" s="6">
        <v>34980</v>
      </c>
      <c r="G11" s="4" t="s">
        <v>21</v>
      </c>
      <c r="H11" s="4" t="s">
        <v>119</v>
      </c>
      <c r="I11" s="10">
        <f t="shared" ca="1" si="0"/>
        <v>5.441095890410959</v>
      </c>
      <c r="J11" s="11">
        <f t="shared" ca="1" si="1"/>
        <v>1050</v>
      </c>
      <c r="K11" s="8">
        <f t="shared" si="2"/>
        <v>3</v>
      </c>
      <c r="L11" s="9">
        <f t="shared" si="3"/>
        <v>2020</v>
      </c>
    </row>
    <row r="12" spans="1:20" ht="14.4">
      <c r="A12" s="4" t="s">
        <v>53</v>
      </c>
      <c r="B12" s="4" t="s">
        <v>23</v>
      </c>
      <c r="C12" s="4" t="s">
        <v>31</v>
      </c>
      <c r="D12" s="4">
        <v>29</v>
      </c>
      <c r="E12" s="5">
        <v>44023</v>
      </c>
      <c r="F12" s="6">
        <v>34980</v>
      </c>
      <c r="G12" s="4" t="s">
        <v>21</v>
      </c>
      <c r="H12" s="4" t="s">
        <v>18</v>
      </c>
      <c r="I12" s="10">
        <f t="shared" ca="1" si="0"/>
        <v>5.2739726027397262</v>
      </c>
      <c r="J12" s="11">
        <f t="shared" ca="1" si="1"/>
        <v>1050</v>
      </c>
      <c r="K12" s="8">
        <f t="shared" si="2"/>
        <v>3</v>
      </c>
      <c r="L12" s="9">
        <f t="shared" si="3"/>
        <v>2020</v>
      </c>
    </row>
    <row r="13" spans="1:20" ht="14.4">
      <c r="A13" s="4" t="s">
        <v>141</v>
      </c>
      <c r="B13" s="4" t="s">
        <v>15</v>
      </c>
      <c r="C13" s="4" t="s">
        <v>16</v>
      </c>
      <c r="D13" s="4">
        <v>43</v>
      </c>
      <c r="E13" s="5">
        <v>44558</v>
      </c>
      <c r="F13" s="6">
        <v>36040</v>
      </c>
      <c r="G13" s="4" t="s">
        <v>21</v>
      </c>
      <c r="H13" s="4" t="s">
        <v>119</v>
      </c>
      <c r="I13" s="10">
        <f t="shared" ca="1" si="0"/>
        <v>3.8082191780821919</v>
      </c>
      <c r="J13" s="11">
        <f t="shared" ca="1" si="1"/>
        <v>1082</v>
      </c>
      <c r="K13" s="8">
        <f t="shared" si="2"/>
        <v>3</v>
      </c>
      <c r="L13" s="9">
        <f t="shared" si="3"/>
        <v>2021</v>
      </c>
    </row>
    <row r="14" spans="1:20" ht="14.4">
      <c r="A14" s="4" t="s">
        <v>105</v>
      </c>
      <c r="B14" s="4" t="s">
        <v>15</v>
      </c>
      <c r="C14" s="4" t="s">
        <v>16</v>
      </c>
      <c r="D14" s="4">
        <v>43</v>
      </c>
      <c r="E14" s="5">
        <v>44620</v>
      </c>
      <c r="F14" s="6">
        <v>36040</v>
      </c>
      <c r="G14" s="4" t="s">
        <v>21</v>
      </c>
      <c r="H14" s="4" t="s">
        <v>18</v>
      </c>
      <c r="I14" s="10">
        <f t="shared" ca="1" si="0"/>
        <v>3.6383561643835618</v>
      </c>
      <c r="J14" s="11">
        <f t="shared" ca="1" si="1"/>
        <v>1082</v>
      </c>
      <c r="K14" s="8">
        <f t="shared" si="2"/>
        <v>3</v>
      </c>
      <c r="L14" s="9">
        <f t="shared" si="3"/>
        <v>2022</v>
      </c>
    </row>
    <row r="15" spans="1:20" ht="14.4">
      <c r="A15" s="4" t="s">
        <v>132</v>
      </c>
      <c r="B15" s="4" t="s">
        <v>15</v>
      </c>
      <c r="C15" s="4" t="s">
        <v>20</v>
      </c>
      <c r="D15" s="4">
        <v>21</v>
      </c>
      <c r="E15" s="5">
        <v>44042</v>
      </c>
      <c r="F15" s="6">
        <v>37920</v>
      </c>
      <c r="G15" s="4" t="s">
        <v>21</v>
      </c>
      <c r="H15" s="4" t="s">
        <v>119</v>
      </c>
      <c r="I15" s="10">
        <f t="shared" ca="1" si="0"/>
        <v>5.2219178082191782</v>
      </c>
      <c r="J15" s="11">
        <f t="shared" ca="1" si="1"/>
        <v>1138</v>
      </c>
      <c r="K15" s="8">
        <f t="shared" si="2"/>
        <v>3</v>
      </c>
      <c r="L15" s="9">
        <f t="shared" si="3"/>
        <v>2020</v>
      </c>
    </row>
    <row r="16" spans="1:20" ht="14.4">
      <c r="A16" s="4" t="s">
        <v>41</v>
      </c>
      <c r="B16" s="4" t="s">
        <v>15</v>
      </c>
      <c r="C16" s="4" t="s">
        <v>20</v>
      </c>
      <c r="D16" s="4">
        <v>21</v>
      </c>
      <c r="E16" s="5">
        <v>44104</v>
      </c>
      <c r="F16" s="6">
        <v>37920</v>
      </c>
      <c r="G16" s="4" t="s">
        <v>21</v>
      </c>
      <c r="H16" s="4" t="s">
        <v>18</v>
      </c>
      <c r="I16" s="10">
        <f t="shared" ca="1" si="0"/>
        <v>5.0520547945205481</v>
      </c>
      <c r="J16" s="11">
        <f t="shared" ca="1" si="1"/>
        <v>1138</v>
      </c>
      <c r="K16" s="8">
        <f t="shared" si="2"/>
        <v>3</v>
      </c>
      <c r="L16" s="9">
        <f t="shared" si="3"/>
        <v>2020</v>
      </c>
    </row>
    <row r="17" spans="1:12" ht="14.4">
      <c r="A17" s="4" t="s">
        <v>143</v>
      </c>
      <c r="B17" s="4" t="s">
        <v>15</v>
      </c>
      <c r="C17" s="4" t="s">
        <v>20</v>
      </c>
      <c r="D17" s="4">
        <v>35</v>
      </c>
      <c r="E17" s="5">
        <v>44666</v>
      </c>
      <c r="F17" s="6">
        <v>40400</v>
      </c>
      <c r="G17" s="4" t="s">
        <v>21</v>
      </c>
      <c r="H17" s="4" t="s">
        <v>119</v>
      </c>
      <c r="I17" s="10">
        <f t="shared" ca="1" si="0"/>
        <v>3.5123287671232877</v>
      </c>
      <c r="J17" s="11">
        <f t="shared" ca="1" si="1"/>
        <v>1212</v>
      </c>
      <c r="K17" s="8">
        <f t="shared" si="2"/>
        <v>3</v>
      </c>
      <c r="L17" s="9">
        <f t="shared" si="3"/>
        <v>2022</v>
      </c>
    </row>
    <row r="18" spans="1:12" ht="14.4">
      <c r="A18" s="4" t="s">
        <v>103</v>
      </c>
      <c r="B18" s="4" t="s">
        <v>15</v>
      </c>
      <c r="C18" s="4" t="s">
        <v>20</v>
      </c>
      <c r="D18" s="4">
        <v>35</v>
      </c>
      <c r="E18" s="5">
        <v>44727</v>
      </c>
      <c r="F18" s="6">
        <v>40400</v>
      </c>
      <c r="G18" s="4" t="s">
        <v>21</v>
      </c>
      <c r="H18" s="4" t="s">
        <v>18</v>
      </c>
      <c r="I18" s="10">
        <f t="shared" ca="1" si="0"/>
        <v>3.3452054794520549</v>
      </c>
      <c r="J18" s="11">
        <f t="shared" ca="1" si="1"/>
        <v>1212</v>
      </c>
      <c r="K18" s="8">
        <f t="shared" si="2"/>
        <v>3</v>
      </c>
      <c r="L18" s="9">
        <f t="shared" si="3"/>
        <v>2022</v>
      </c>
    </row>
    <row r="19" spans="1:12" ht="14.4">
      <c r="A19" s="4" t="s">
        <v>147</v>
      </c>
      <c r="B19" s="4" t="s">
        <v>23</v>
      </c>
      <c r="C19" s="4" t="s">
        <v>20</v>
      </c>
      <c r="D19" s="4">
        <v>32</v>
      </c>
      <c r="E19" s="5">
        <v>44549</v>
      </c>
      <c r="F19" s="6">
        <v>41570</v>
      </c>
      <c r="G19" s="4" t="s">
        <v>21</v>
      </c>
      <c r="H19" s="4" t="s">
        <v>119</v>
      </c>
      <c r="I19" s="10">
        <f t="shared" ca="1" si="0"/>
        <v>3.8328767123287673</v>
      </c>
      <c r="J19" s="11">
        <f t="shared" ca="1" si="1"/>
        <v>1248</v>
      </c>
      <c r="K19" s="8">
        <f t="shared" si="2"/>
        <v>3</v>
      </c>
      <c r="L19" s="9">
        <f t="shared" si="3"/>
        <v>2021</v>
      </c>
    </row>
    <row r="20" spans="1:12" ht="14.4">
      <c r="A20" s="4" t="s">
        <v>112</v>
      </c>
      <c r="B20" s="4" t="s">
        <v>23</v>
      </c>
      <c r="C20" s="4" t="s">
        <v>20</v>
      </c>
      <c r="D20" s="4">
        <v>32</v>
      </c>
      <c r="E20" s="5">
        <v>44611</v>
      </c>
      <c r="F20" s="6">
        <v>41570</v>
      </c>
      <c r="G20" s="4" t="s">
        <v>21</v>
      </c>
      <c r="H20" s="4" t="s">
        <v>18</v>
      </c>
      <c r="I20" s="10">
        <f t="shared" ca="1" si="0"/>
        <v>3.6630136986301371</v>
      </c>
      <c r="J20" s="11">
        <f t="shared" ca="1" si="1"/>
        <v>1248</v>
      </c>
      <c r="K20" s="8">
        <f t="shared" si="2"/>
        <v>3</v>
      </c>
      <c r="L20" s="9">
        <f t="shared" si="3"/>
        <v>2022</v>
      </c>
    </row>
    <row r="21" spans="1:12" ht="14.4">
      <c r="A21" s="4" t="s">
        <v>184</v>
      </c>
      <c r="B21" s="4" t="s">
        <v>23</v>
      </c>
      <c r="C21" s="4" t="s">
        <v>31</v>
      </c>
      <c r="D21" s="4">
        <v>31</v>
      </c>
      <c r="E21" s="5">
        <v>44084</v>
      </c>
      <c r="F21" s="6">
        <v>41980</v>
      </c>
      <c r="G21" s="4" t="s">
        <v>21</v>
      </c>
      <c r="H21" s="4" t="s">
        <v>119</v>
      </c>
      <c r="I21" s="10">
        <f t="shared" ca="1" si="0"/>
        <v>5.1068493150684935</v>
      </c>
      <c r="J21" s="11">
        <f t="shared" ca="1" si="1"/>
        <v>1260</v>
      </c>
      <c r="K21" s="8">
        <f t="shared" si="2"/>
        <v>3</v>
      </c>
      <c r="L21" s="9">
        <f t="shared" si="3"/>
        <v>2020</v>
      </c>
    </row>
    <row r="22" spans="1:12" ht="14.4">
      <c r="A22" s="4" t="s">
        <v>43</v>
      </c>
      <c r="B22" s="4" t="s">
        <v>23</v>
      </c>
      <c r="C22" s="4" t="s">
        <v>31</v>
      </c>
      <c r="D22" s="4">
        <v>31</v>
      </c>
      <c r="E22" s="5">
        <v>44145</v>
      </c>
      <c r="F22" s="6">
        <v>41980</v>
      </c>
      <c r="G22" s="4" t="s">
        <v>21</v>
      </c>
      <c r="H22" s="4" t="s">
        <v>18</v>
      </c>
      <c r="I22" s="10">
        <f t="shared" ca="1" si="0"/>
        <v>4.9397260273972599</v>
      </c>
      <c r="J22" s="11">
        <f t="shared" ca="1" si="1"/>
        <v>1260</v>
      </c>
      <c r="K22" s="8">
        <f t="shared" si="2"/>
        <v>3</v>
      </c>
      <c r="L22" s="9">
        <f t="shared" si="3"/>
        <v>2020</v>
      </c>
    </row>
    <row r="23" spans="1:12" ht="14.4">
      <c r="A23" s="4" t="s">
        <v>181</v>
      </c>
      <c r="B23" s="4" t="s">
        <v>15</v>
      </c>
      <c r="C23" s="4" t="s">
        <v>16</v>
      </c>
      <c r="D23" s="4">
        <v>28</v>
      </c>
      <c r="E23" s="5">
        <v>44758</v>
      </c>
      <c r="F23" s="6">
        <v>43510</v>
      </c>
      <c r="G23" s="4" t="s">
        <v>57</v>
      </c>
      <c r="H23" s="4" t="s">
        <v>119</v>
      </c>
      <c r="I23" s="10">
        <f t="shared" ca="1" si="0"/>
        <v>3.2602739726027399</v>
      </c>
      <c r="J23" s="11">
        <f t="shared" ca="1" si="1"/>
        <v>1306</v>
      </c>
      <c r="K23" s="8">
        <f t="shared" si="2"/>
        <v>1</v>
      </c>
      <c r="L23" s="9">
        <f t="shared" si="3"/>
        <v>2022</v>
      </c>
    </row>
    <row r="24" spans="1:12" ht="14.4">
      <c r="A24" s="4" t="s">
        <v>109</v>
      </c>
      <c r="B24" s="4" t="s">
        <v>15</v>
      </c>
      <c r="C24" s="4" t="s">
        <v>16</v>
      </c>
      <c r="D24" s="4">
        <v>28</v>
      </c>
      <c r="E24" s="5">
        <v>44820</v>
      </c>
      <c r="F24" s="6">
        <v>43510</v>
      </c>
      <c r="G24" s="4" t="s">
        <v>57</v>
      </c>
      <c r="H24" s="4" t="s">
        <v>18</v>
      </c>
      <c r="I24" s="10">
        <f t="shared" ca="1" si="0"/>
        <v>3.0904109589041098</v>
      </c>
      <c r="J24" s="11">
        <f t="shared" ca="1" si="1"/>
        <v>1306</v>
      </c>
      <c r="K24" s="8">
        <f t="shared" si="2"/>
        <v>1</v>
      </c>
      <c r="L24" s="9">
        <f t="shared" si="3"/>
        <v>2022</v>
      </c>
    </row>
    <row r="25" spans="1:12" ht="14.4">
      <c r="A25" s="4" t="s">
        <v>120</v>
      </c>
      <c r="B25" s="4" t="s">
        <v>23</v>
      </c>
      <c r="C25" s="4" t="s">
        <v>31</v>
      </c>
      <c r="D25" s="4">
        <v>32</v>
      </c>
      <c r="E25" s="5">
        <v>44293</v>
      </c>
      <c r="F25" s="6">
        <v>43840</v>
      </c>
      <c r="G25" s="4" t="s">
        <v>17</v>
      </c>
      <c r="H25" s="4" t="s">
        <v>119</v>
      </c>
      <c r="I25" s="10">
        <f t="shared" ca="1" si="0"/>
        <v>4.5342465753424657</v>
      </c>
      <c r="J25" s="11">
        <f t="shared" ca="1" si="1"/>
        <v>1316</v>
      </c>
      <c r="K25" s="8">
        <f t="shared" si="2"/>
        <v>4</v>
      </c>
      <c r="L25" s="9">
        <f t="shared" si="3"/>
        <v>2021</v>
      </c>
    </row>
    <row r="26" spans="1:12" ht="14.4">
      <c r="A26" s="4" t="s">
        <v>39</v>
      </c>
      <c r="B26" s="4" t="s">
        <v>23</v>
      </c>
      <c r="C26" s="4" t="s">
        <v>31</v>
      </c>
      <c r="D26" s="4">
        <v>32</v>
      </c>
      <c r="E26" s="5">
        <v>44354</v>
      </c>
      <c r="F26" s="6">
        <v>43840</v>
      </c>
      <c r="G26" s="4" t="s">
        <v>17</v>
      </c>
      <c r="H26" s="4" t="s">
        <v>18</v>
      </c>
      <c r="I26" s="10">
        <f t="shared" ca="1" si="0"/>
        <v>4.3671232876712329</v>
      </c>
      <c r="J26" s="11">
        <f t="shared" ca="1" si="1"/>
        <v>1316</v>
      </c>
      <c r="K26" s="8">
        <f t="shared" si="2"/>
        <v>4</v>
      </c>
      <c r="L26" s="9">
        <f t="shared" si="3"/>
        <v>2021</v>
      </c>
    </row>
    <row r="27" spans="1:12" ht="14.4">
      <c r="A27" s="4" t="s">
        <v>122</v>
      </c>
      <c r="B27" s="4" t="s">
        <v>23</v>
      </c>
      <c r="C27" s="4" t="s">
        <v>34</v>
      </c>
      <c r="D27" s="4">
        <v>32</v>
      </c>
      <c r="E27" s="5">
        <v>44339</v>
      </c>
      <c r="F27" s="6">
        <v>45510</v>
      </c>
      <c r="G27" s="4" t="s">
        <v>21</v>
      </c>
      <c r="H27" s="4" t="s">
        <v>119</v>
      </c>
      <c r="I27" s="10">
        <f t="shared" ca="1" si="0"/>
        <v>4.4082191780821915</v>
      </c>
      <c r="J27" s="11">
        <f t="shared" ca="1" si="1"/>
        <v>1366</v>
      </c>
      <c r="K27" s="8">
        <f t="shared" si="2"/>
        <v>3</v>
      </c>
      <c r="L27" s="9">
        <f t="shared" si="3"/>
        <v>2021</v>
      </c>
    </row>
    <row r="28" spans="1:12" ht="14.4">
      <c r="A28" s="4" t="s">
        <v>78</v>
      </c>
      <c r="B28" s="4" t="s">
        <v>23</v>
      </c>
      <c r="C28" s="4" t="s">
        <v>34</v>
      </c>
      <c r="D28" s="4">
        <v>32</v>
      </c>
      <c r="E28" s="5">
        <v>44400</v>
      </c>
      <c r="F28" s="6">
        <v>45510</v>
      </c>
      <c r="G28" s="4" t="s">
        <v>21</v>
      </c>
      <c r="H28" s="4" t="s">
        <v>18</v>
      </c>
      <c r="I28" s="10">
        <f t="shared" ca="1" si="0"/>
        <v>4.2410958904109588</v>
      </c>
      <c r="J28" s="11">
        <f t="shared" ca="1" si="1"/>
        <v>1366</v>
      </c>
      <c r="K28" s="8">
        <f t="shared" si="2"/>
        <v>3</v>
      </c>
      <c r="L28" s="9">
        <f t="shared" si="3"/>
        <v>2021</v>
      </c>
    </row>
    <row r="29" spans="1:12" ht="14.4">
      <c r="A29" s="4" t="s">
        <v>149</v>
      </c>
      <c r="B29" s="4" t="s">
        <v>15</v>
      </c>
      <c r="C29" s="4" t="s">
        <v>20</v>
      </c>
      <c r="D29" s="4">
        <v>26</v>
      </c>
      <c r="E29" s="5">
        <v>44164</v>
      </c>
      <c r="F29" s="6">
        <v>47360</v>
      </c>
      <c r="G29" s="4" t="s">
        <v>21</v>
      </c>
      <c r="H29" s="4" t="s">
        <v>119</v>
      </c>
      <c r="I29" s="10">
        <f t="shared" ca="1" si="0"/>
        <v>4.8876712328767127</v>
      </c>
      <c r="J29" s="11">
        <f t="shared" ca="1" si="1"/>
        <v>1421</v>
      </c>
      <c r="K29" s="8">
        <f t="shared" si="2"/>
        <v>3</v>
      </c>
      <c r="L29" s="9">
        <f t="shared" si="3"/>
        <v>2020</v>
      </c>
    </row>
    <row r="30" spans="1:12" ht="14.4">
      <c r="A30" s="4" t="s">
        <v>95</v>
      </c>
      <c r="B30" s="4" t="s">
        <v>15</v>
      </c>
      <c r="C30" s="4" t="s">
        <v>20</v>
      </c>
      <c r="D30" s="4">
        <v>26</v>
      </c>
      <c r="E30" s="5">
        <v>44225</v>
      </c>
      <c r="F30" s="6">
        <v>47360</v>
      </c>
      <c r="G30" s="4" t="s">
        <v>21</v>
      </c>
      <c r="H30" s="4" t="s">
        <v>18</v>
      </c>
      <c r="I30" s="10">
        <f t="shared" ca="1" si="0"/>
        <v>4.720547945205479</v>
      </c>
      <c r="J30" s="11">
        <f t="shared" ca="1" si="1"/>
        <v>1421</v>
      </c>
      <c r="K30" s="8">
        <f t="shared" si="2"/>
        <v>3</v>
      </c>
      <c r="L30" s="9">
        <f t="shared" si="3"/>
        <v>2021</v>
      </c>
    </row>
    <row r="31" spans="1:12" ht="14.4">
      <c r="A31" s="4" t="s">
        <v>131</v>
      </c>
      <c r="B31" s="4" t="s">
        <v>15</v>
      </c>
      <c r="C31" s="4" t="s">
        <v>25</v>
      </c>
      <c r="D31" s="4">
        <v>28</v>
      </c>
      <c r="E31" s="5">
        <v>43980</v>
      </c>
      <c r="F31" s="6">
        <v>48170</v>
      </c>
      <c r="G31" s="4" t="s">
        <v>17</v>
      </c>
      <c r="H31" s="4" t="s">
        <v>119</v>
      </c>
      <c r="I31" s="10">
        <f t="shared" ca="1" si="0"/>
        <v>5.3917808219178083</v>
      </c>
      <c r="J31" s="11">
        <f t="shared" ca="1" si="1"/>
        <v>1446</v>
      </c>
      <c r="K31" s="8">
        <f t="shared" si="2"/>
        <v>4</v>
      </c>
      <c r="L31" s="9">
        <f t="shared" si="3"/>
        <v>2020</v>
      </c>
    </row>
    <row r="32" spans="1:12" ht="14.4">
      <c r="A32" s="4" t="s">
        <v>77</v>
      </c>
      <c r="B32" s="4" t="s">
        <v>15</v>
      </c>
      <c r="C32" s="4" t="s">
        <v>25</v>
      </c>
      <c r="D32" s="4">
        <v>28</v>
      </c>
      <c r="E32" s="5">
        <v>44041</v>
      </c>
      <c r="F32" s="6">
        <v>48170</v>
      </c>
      <c r="G32" s="4" t="s">
        <v>17</v>
      </c>
      <c r="H32" s="4" t="s">
        <v>18</v>
      </c>
      <c r="I32" s="10">
        <f t="shared" ca="1" si="0"/>
        <v>5.2246575342465755</v>
      </c>
      <c r="J32" s="11">
        <f t="shared" ca="1" si="1"/>
        <v>1446</v>
      </c>
      <c r="K32" s="8">
        <f t="shared" si="2"/>
        <v>4</v>
      </c>
      <c r="L32" s="9">
        <f t="shared" si="3"/>
        <v>2020</v>
      </c>
    </row>
    <row r="33" spans="1:23" ht="31.2">
      <c r="A33" s="4" t="s">
        <v>209</v>
      </c>
      <c r="B33" s="4" t="s">
        <v>15</v>
      </c>
      <c r="C33" s="4" t="s">
        <v>20</v>
      </c>
      <c r="D33" s="4">
        <v>33</v>
      </c>
      <c r="E33" s="5">
        <v>44640</v>
      </c>
      <c r="F33" s="6">
        <v>48530</v>
      </c>
      <c r="G33" s="4" t="s">
        <v>17</v>
      </c>
      <c r="H33" s="4" t="s">
        <v>119</v>
      </c>
      <c r="I33" s="10">
        <f t="shared" ca="1" si="0"/>
        <v>3.5835616438356164</v>
      </c>
      <c r="J33" s="11">
        <f t="shared" ca="1" si="1"/>
        <v>1456</v>
      </c>
      <c r="K33" s="8">
        <f t="shared" si="2"/>
        <v>4</v>
      </c>
      <c r="L33" s="9">
        <f t="shared" si="3"/>
        <v>2022</v>
      </c>
      <c r="P33" s="12" t="s">
        <v>238</v>
      </c>
      <c r="Q33" s="16"/>
      <c r="R33" s="16"/>
      <c r="S33" s="16"/>
      <c r="T33" s="16"/>
      <c r="U33" s="18"/>
      <c r="V33" s="18"/>
      <c r="W33" s="17"/>
    </row>
    <row r="34" spans="1:23" ht="14.4">
      <c r="A34" s="4" t="s">
        <v>29</v>
      </c>
      <c r="B34" s="4" t="s">
        <v>15</v>
      </c>
      <c r="C34" s="4" t="s">
        <v>20</v>
      </c>
      <c r="D34" s="4">
        <v>33</v>
      </c>
      <c r="E34" s="5">
        <v>44701</v>
      </c>
      <c r="F34" s="6">
        <v>48530</v>
      </c>
      <c r="G34" s="4" t="s">
        <v>17</v>
      </c>
      <c r="H34" s="4" t="s">
        <v>18</v>
      </c>
      <c r="I34" s="10">
        <f t="shared" ca="1" si="0"/>
        <v>3.4164383561643836</v>
      </c>
      <c r="J34" s="11">
        <f t="shared" ca="1" si="1"/>
        <v>1456</v>
      </c>
      <c r="K34" s="8">
        <f t="shared" si="2"/>
        <v>4</v>
      </c>
      <c r="L34" s="9">
        <f t="shared" si="3"/>
        <v>2022</v>
      </c>
    </row>
    <row r="35" spans="1:23" ht="14.4">
      <c r="A35" s="4" t="s">
        <v>176</v>
      </c>
      <c r="B35" s="4" t="s">
        <v>15</v>
      </c>
      <c r="C35" s="4" t="s">
        <v>31</v>
      </c>
      <c r="D35" s="4">
        <v>31</v>
      </c>
      <c r="E35" s="5">
        <v>44450</v>
      </c>
      <c r="F35" s="6">
        <v>48950</v>
      </c>
      <c r="G35" s="4" t="s">
        <v>21</v>
      </c>
      <c r="H35" s="4" t="s">
        <v>119</v>
      </c>
      <c r="I35" s="10">
        <f t="shared" ca="1" si="0"/>
        <v>4.1041095890410961</v>
      </c>
      <c r="J35" s="11">
        <f t="shared" ca="1" si="1"/>
        <v>1469</v>
      </c>
      <c r="K35" s="8">
        <f t="shared" si="2"/>
        <v>3</v>
      </c>
      <c r="L35" s="9">
        <f t="shared" si="3"/>
        <v>2021</v>
      </c>
    </row>
    <row r="36" spans="1:23" ht="14.4">
      <c r="A36" s="4" t="s">
        <v>65</v>
      </c>
      <c r="B36" s="4" t="s">
        <v>15</v>
      </c>
      <c r="C36" s="4" t="s">
        <v>31</v>
      </c>
      <c r="D36" s="4">
        <v>31</v>
      </c>
      <c r="E36" s="5">
        <v>44511</v>
      </c>
      <c r="F36" s="6">
        <v>48950</v>
      </c>
      <c r="G36" s="4" t="s">
        <v>21</v>
      </c>
      <c r="H36" s="4" t="s">
        <v>18</v>
      </c>
      <c r="I36" s="10">
        <f t="shared" ca="1" si="0"/>
        <v>3.9369863013698629</v>
      </c>
      <c r="J36" s="11">
        <f t="shared" ca="1" si="1"/>
        <v>1469</v>
      </c>
      <c r="K36" s="8">
        <f t="shared" si="2"/>
        <v>3</v>
      </c>
      <c r="L36" s="9">
        <f t="shared" si="3"/>
        <v>2021</v>
      </c>
      <c r="N36" t="s">
        <v>12</v>
      </c>
      <c r="O36" t="s">
        <v>233</v>
      </c>
      <c r="P36" t="s">
        <v>235</v>
      </c>
      <c r="R36" s="9" t="s">
        <v>51</v>
      </c>
      <c r="S36" s="9"/>
      <c r="T36" s="9">
        <v>5</v>
      </c>
    </row>
    <row r="37" spans="1:23" ht="14.4">
      <c r="A37" s="4" t="s">
        <v>158</v>
      </c>
      <c r="B37" s="4" t="s">
        <v>15</v>
      </c>
      <c r="C37" s="4" t="s">
        <v>25</v>
      </c>
      <c r="D37" s="4">
        <v>27</v>
      </c>
      <c r="E37" s="5">
        <v>44506</v>
      </c>
      <c r="F37" s="6">
        <v>48980</v>
      </c>
      <c r="G37" s="4" t="s">
        <v>21</v>
      </c>
      <c r="H37" s="4" t="s">
        <v>119</v>
      </c>
      <c r="I37" s="10">
        <f t="shared" ca="1" si="0"/>
        <v>3.9506849315068493</v>
      </c>
      <c r="J37" s="11">
        <f t="shared" ca="1" si="1"/>
        <v>1470</v>
      </c>
      <c r="K37" s="8">
        <f t="shared" si="2"/>
        <v>3</v>
      </c>
      <c r="L37" s="9">
        <f t="shared" si="3"/>
        <v>2021</v>
      </c>
      <c r="N37" t="s">
        <v>51</v>
      </c>
      <c r="O37" s="13">
        <v>4</v>
      </c>
      <c r="P37" s="14">
        <v>92080</v>
      </c>
      <c r="R37" s="9" t="s">
        <v>17</v>
      </c>
      <c r="S37" s="9"/>
      <c r="T37" s="9">
        <v>4</v>
      </c>
    </row>
    <row r="38" spans="1:23" ht="14.4">
      <c r="A38" s="4" t="s">
        <v>48</v>
      </c>
      <c r="B38" s="4" t="s">
        <v>15</v>
      </c>
      <c r="C38" s="4" t="s">
        <v>25</v>
      </c>
      <c r="D38" s="4">
        <v>27</v>
      </c>
      <c r="E38" s="5">
        <v>44567</v>
      </c>
      <c r="F38" s="6">
        <v>48980</v>
      </c>
      <c r="G38" s="4" t="s">
        <v>21</v>
      </c>
      <c r="H38" s="4" t="s">
        <v>18</v>
      </c>
      <c r="I38" s="10">
        <f t="shared" ca="1" si="0"/>
        <v>3.7835616438356166</v>
      </c>
      <c r="J38" s="11">
        <f t="shared" ca="1" si="1"/>
        <v>1470</v>
      </c>
      <c r="K38" s="8">
        <f t="shared" si="2"/>
        <v>3</v>
      </c>
      <c r="L38" s="9">
        <f t="shared" si="3"/>
        <v>2022</v>
      </c>
      <c r="N38" t="s">
        <v>17</v>
      </c>
      <c r="O38" s="13">
        <v>20</v>
      </c>
      <c r="P38" s="14">
        <v>75933</v>
      </c>
      <c r="R38" s="9" t="s">
        <v>21</v>
      </c>
      <c r="S38" s="9"/>
      <c r="T38" s="9">
        <v>3</v>
      </c>
    </row>
    <row r="39" spans="1:23" ht="14.4">
      <c r="A39" s="4" t="s">
        <v>134</v>
      </c>
      <c r="B39" s="4" t="s">
        <v>23</v>
      </c>
      <c r="C39" s="4" t="s">
        <v>16</v>
      </c>
      <c r="D39" s="4">
        <v>34</v>
      </c>
      <c r="E39" s="5">
        <v>44660</v>
      </c>
      <c r="F39" s="6">
        <v>49630</v>
      </c>
      <c r="G39" s="4" t="s">
        <v>26</v>
      </c>
      <c r="H39" s="4" t="s">
        <v>119</v>
      </c>
      <c r="I39" s="10">
        <f t="shared" ca="1" si="0"/>
        <v>3.5287671232876714</v>
      </c>
      <c r="J39" s="11">
        <f t="shared" ca="1" si="1"/>
        <v>1489</v>
      </c>
      <c r="K39" s="8">
        <f t="shared" si="2"/>
        <v>2</v>
      </c>
      <c r="L39" s="9">
        <f t="shared" si="3"/>
        <v>2022</v>
      </c>
      <c r="N39" t="s">
        <v>21</v>
      </c>
      <c r="O39" s="13">
        <v>137</v>
      </c>
      <c r="P39" s="14">
        <v>76798.759124087606</v>
      </c>
      <c r="R39" s="9" t="s">
        <v>26</v>
      </c>
      <c r="S39" s="9"/>
      <c r="T39" s="9">
        <v>2</v>
      </c>
    </row>
    <row r="40" spans="1:23" ht="14.4">
      <c r="A40" s="4" t="s">
        <v>61</v>
      </c>
      <c r="B40" s="4" t="s">
        <v>23</v>
      </c>
      <c r="C40" s="4" t="s">
        <v>16</v>
      </c>
      <c r="D40" s="4">
        <v>34</v>
      </c>
      <c r="E40" s="5">
        <v>44721</v>
      </c>
      <c r="F40" s="6">
        <v>49630</v>
      </c>
      <c r="G40" s="4" t="s">
        <v>26</v>
      </c>
      <c r="H40" s="4" t="s">
        <v>18</v>
      </c>
      <c r="I40" s="10">
        <f t="shared" ca="1" si="0"/>
        <v>3.3616438356164382</v>
      </c>
      <c r="J40" s="11">
        <f t="shared" ca="1" si="1"/>
        <v>1489</v>
      </c>
      <c r="K40" s="8">
        <f t="shared" si="2"/>
        <v>2</v>
      </c>
      <c r="L40" s="9">
        <f t="shared" si="3"/>
        <v>2022</v>
      </c>
      <c r="N40" t="s">
        <v>26</v>
      </c>
      <c r="O40" s="13">
        <v>16</v>
      </c>
      <c r="P40" s="14">
        <v>78115</v>
      </c>
      <c r="R40" s="9" t="s">
        <v>57</v>
      </c>
      <c r="S40" s="9"/>
      <c r="T40" s="9">
        <v>1</v>
      </c>
    </row>
    <row r="41" spans="1:23" ht="14.4">
      <c r="A41" s="4" t="s">
        <v>153</v>
      </c>
      <c r="B41" s="4" t="s">
        <v>15</v>
      </c>
      <c r="C41" s="4" t="s">
        <v>25</v>
      </c>
      <c r="D41" s="4">
        <v>24</v>
      </c>
      <c r="E41" s="5">
        <v>44375</v>
      </c>
      <c r="F41" s="6">
        <v>52610</v>
      </c>
      <c r="G41" s="4" t="s">
        <v>26</v>
      </c>
      <c r="H41" s="4" t="s">
        <v>119</v>
      </c>
      <c r="I41" s="10">
        <f t="shared" ca="1" si="0"/>
        <v>4.3095890410958901</v>
      </c>
      <c r="J41" s="11">
        <f t="shared" ca="1" si="1"/>
        <v>1579</v>
      </c>
      <c r="K41" s="8">
        <f t="shared" si="2"/>
        <v>2</v>
      </c>
      <c r="L41" s="9">
        <f t="shared" si="3"/>
        <v>2021</v>
      </c>
      <c r="N41" t="s">
        <v>57</v>
      </c>
      <c r="O41" s="13">
        <v>6</v>
      </c>
      <c r="P41" s="14">
        <v>77423.333333333299</v>
      </c>
    </row>
    <row r="42" spans="1:23" ht="14.4">
      <c r="A42" s="4" t="s">
        <v>66</v>
      </c>
      <c r="B42" s="4" t="s">
        <v>15</v>
      </c>
      <c r="C42" s="4" t="s">
        <v>25</v>
      </c>
      <c r="D42" s="4">
        <v>24</v>
      </c>
      <c r="E42" s="5">
        <v>44436</v>
      </c>
      <c r="F42" s="6">
        <v>52610</v>
      </c>
      <c r="G42" s="4" t="s">
        <v>26</v>
      </c>
      <c r="H42" s="4" t="s">
        <v>18</v>
      </c>
      <c r="I42" s="10">
        <f t="shared" ca="1" si="0"/>
        <v>4.1424657534246574</v>
      </c>
      <c r="J42" s="11">
        <f t="shared" ca="1" si="1"/>
        <v>1579</v>
      </c>
      <c r="K42" s="8">
        <f t="shared" si="2"/>
        <v>2</v>
      </c>
      <c r="L42" s="9">
        <f t="shared" si="3"/>
        <v>2021</v>
      </c>
      <c r="N42" t="s">
        <v>243</v>
      </c>
      <c r="O42" s="13">
        <v>183</v>
      </c>
      <c r="P42" s="15">
        <v>77173.715846994499</v>
      </c>
    </row>
    <row r="43" spans="1:23" ht="14.4">
      <c r="A43" s="4" t="s">
        <v>160</v>
      </c>
      <c r="B43" s="4" t="s">
        <v>23</v>
      </c>
      <c r="C43" s="4" t="s">
        <v>16</v>
      </c>
      <c r="D43" s="4">
        <v>28</v>
      </c>
      <c r="E43" s="5">
        <v>44296</v>
      </c>
      <c r="F43" s="6">
        <v>53240</v>
      </c>
      <c r="G43" s="4" t="s">
        <v>21</v>
      </c>
      <c r="H43" s="4" t="s">
        <v>119</v>
      </c>
      <c r="I43" s="10">
        <f t="shared" ca="1" si="0"/>
        <v>4.5260273972602736</v>
      </c>
      <c r="J43" s="11">
        <f t="shared" ca="1" si="1"/>
        <v>1598</v>
      </c>
      <c r="K43" s="8">
        <f t="shared" si="2"/>
        <v>3</v>
      </c>
      <c r="L43" s="9">
        <f t="shared" si="3"/>
        <v>2021</v>
      </c>
    </row>
    <row r="44" spans="1:23" ht="14.4">
      <c r="A44" s="4" t="s">
        <v>22</v>
      </c>
      <c r="B44" s="4" t="s">
        <v>23</v>
      </c>
      <c r="C44" s="4" t="s">
        <v>16</v>
      </c>
      <c r="D44" s="4">
        <v>28</v>
      </c>
      <c r="E44" s="5">
        <v>44357</v>
      </c>
      <c r="F44" s="6">
        <v>53240</v>
      </c>
      <c r="G44" s="4" t="s">
        <v>21</v>
      </c>
      <c r="H44" s="4" t="s">
        <v>18</v>
      </c>
      <c r="I44" s="10">
        <f t="shared" ca="1" si="0"/>
        <v>4.3589041095890408</v>
      </c>
      <c r="J44" s="11">
        <f t="shared" ca="1" si="1"/>
        <v>1598</v>
      </c>
      <c r="K44" s="8">
        <f t="shared" si="2"/>
        <v>3</v>
      </c>
      <c r="L44" s="9">
        <f t="shared" si="3"/>
        <v>2021</v>
      </c>
    </row>
    <row r="45" spans="1:23" ht="14.4">
      <c r="A45" s="4" t="s">
        <v>180</v>
      </c>
      <c r="B45" s="4" t="s">
        <v>15</v>
      </c>
      <c r="C45" s="4" t="s">
        <v>16</v>
      </c>
      <c r="D45" s="4">
        <v>32</v>
      </c>
      <c r="E45" s="5">
        <v>44403</v>
      </c>
      <c r="F45" s="6">
        <v>53540</v>
      </c>
      <c r="G45" s="4" t="s">
        <v>21</v>
      </c>
      <c r="H45" s="4" t="s">
        <v>119</v>
      </c>
      <c r="I45" s="10">
        <f t="shared" ca="1" si="0"/>
        <v>4.2328767123287667</v>
      </c>
      <c r="J45" s="11">
        <f t="shared" ca="1" si="1"/>
        <v>1607</v>
      </c>
      <c r="K45" s="8">
        <f t="shared" si="2"/>
        <v>3</v>
      </c>
      <c r="L45" s="9">
        <f t="shared" si="3"/>
        <v>2021</v>
      </c>
    </row>
    <row r="46" spans="1:23" ht="14.4">
      <c r="A46" s="4" t="s">
        <v>188</v>
      </c>
      <c r="B46" s="4" t="s">
        <v>15</v>
      </c>
      <c r="C46" s="4" t="s">
        <v>20</v>
      </c>
      <c r="D46" s="4">
        <v>26</v>
      </c>
      <c r="E46" s="5">
        <v>44350</v>
      </c>
      <c r="F46" s="6">
        <v>53540</v>
      </c>
      <c r="G46" s="4" t="s">
        <v>21</v>
      </c>
      <c r="H46" s="4" t="s">
        <v>119</v>
      </c>
      <c r="I46" s="10">
        <f t="shared" ca="1" si="0"/>
        <v>4.3780821917808215</v>
      </c>
      <c r="J46" s="11">
        <f t="shared" ca="1" si="1"/>
        <v>1607</v>
      </c>
      <c r="K46" s="8">
        <f t="shared" si="2"/>
        <v>3</v>
      </c>
      <c r="L46" s="9">
        <f t="shared" si="3"/>
        <v>2021</v>
      </c>
    </row>
    <row r="47" spans="1:23" ht="14.4">
      <c r="A47" s="4" t="s">
        <v>27</v>
      </c>
      <c r="B47" s="4" t="s">
        <v>15</v>
      </c>
      <c r="C47" s="4" t="s">
        <v>16</v>
      </c>
      <c r="D47" s="4">
        <v>32</v>
      </c>
      <c r="E47" s="5">
        <v>44465</v>
      </c>
      <c r="F47" s="6">
        <v>53540</v>
      </c>
      <c r="G47" s="4" t="s">
        <v>21</v>
      </c>
      <c r="H47" s="4" t="s">
        <v>18</v>
      </c>
      <c r="I47" s="10">
        <f t="shared" ca="1" si="0"/>
        <v>4.0630136986301366</v>
      </c>
      <c r="J47" s="11">
        <f t="shared" ca="1" si="1"/>
        <v>1607</v>
      </c>
      <c r="K47" s="8">
        <f t="shared" si="2"/>
        <v>3</v>
      </c>
      <c r="L47" s="9">
        <f t="shared" si="3"/>
        <v>2021</v>
      </c>
    </row>
    <row r="48" spans="1:23" ht="14.4">
      <c r="A48" s="4" t="s">
        <v>117</v>
      </c>
      <c r="B48" s="4" t="s">
        <v>15</v>
      </c>
      <c r="C48" s="4" t="s">
        <v>20</v>
      </c>
      <c r="D48" s="4">
        <v>26</v>
      </c>
      <c r="E48" s="5">
        <v>44411</v>
      </c>
      <c r="F48" s="6">
        <v>53540</v>
      </c>
      <c r="G48" s="4" t="s">
        <v>21</v>
      </c>
      <c r="H48" s="4" t="s">
        <v>18</v>
      </c>
      <c r="I48" s="10">
        <f t="shared" ca="1" si="0"/>
        <v>4.2109589041095887</v>
      </c>
      <c r="J48" s="11">
        <f t="shared" ca="1" si="1"/>
        <v>1607</v>
      </c>
      <c r="K48" s="8">
        <f t="shared" si="2"/>
        <v>3</v>
      </c>
      <c r="L48" s="9">
        <f t="shared" si="3"/>
        <v>2021</v>
      </c>
    </row>
    <row r="49" spans="1:12" ht="14.4">
      <c r="A49" s="4" t="s">
        <v>204</v>
      </c>
      <c r="B49" s="4" t="s">
        <v>15</v>
      </c>
      <c r="C49" s="4" t="s">
        <v>31</v>
      </c>
      <c r="D49" s="4">
        <v>33</v>
      </c>
      <c r="E49" s="5">
        <v>44448</v>
      </c>
      <c r="F49" s="6">
        <v>53870</v>
      </c>
      <c r="G49" s="4" t="s">
        <v>21</v>
      </c>
      <c r="H49" s="4" t="s">
        <v>119</v>
      </c>
      <c r="I49" s="10">
        <f t="shared" ca="1" si="0"/>
        <v>4.1095890410958908</v>
      </c>
      <c r="J49" s="11">
        <f t="shared" ca="1" si="1"/>
        <v>1617</v>
      </c>
      <c r="K49" s="8">
        <f t="shared" si="2"/>
        <v>3</v>
      </c>
      <c r="L49" s="9">
        <f t="shared" si="3"/>
        <v>2021</v>
      </c>
    </row>
    <row r="50" spans="1:12" ht="14.4">
      <c r="A50" s="4" t="s">
        <v>32</v>
      </c>
      <c r="B50" s="4" t="s">
        <v>15</v>
      </c>
      <c r="C50" s="4" t="s">
        <v>31</v>
      </c>
      <c r="D50" s="4">
        <v>33</v>
      </c>
      <c r="E50" s="5">
        <v>44509</v>
      </c>
      <c r="F50" s="6">
        <v>53870</v>
      </c>
      <c r="G50" s="4" t="s">
        <v>21</v>
      </c>
      <c r="H50" s="4" t="s">
        <v>18</v>
      </c>
      <c r="I50" s="10">
        <f t="shared" ca="1" si="0"/>
        <v>3.9424657534246577</v>
      </c>
      <c r="J50" s="11">
        <f t="shared" ca="1" si="1"/>
        <v>1617</v>
      </c>
      <c r="K50" s="8">
        <f t="shared" si="2"/>
        <v>3</v>
      </c>
      <c r="L50" s="9">
        <f t="shared" si="3"/>
        <v>2021</v>
      </c>
    </row>
    <row r="51" spans="1:12" ht="14.4">
      <c r="A51" s="4" t="s">
        <v>139</v>
      </c>
      <c r="B51" s="4" t="s">
        <v>15</v>
      </c>
      <c r="C51" s="4" t="s">
        <v>16</v>
      </c>
      <c r="D51" s="4">
        <v>27</v>
      </c>
      <c r="E51" s="5">
        <v>44073</v>
      </c>
      <c r="F51" s="6">
        <v>54970</v>
      </c>
      <c r="G51" s="4" t="s">
        <v>21</v>
      </c>
      <c r="H51" s="4" t="s">
        <v>119</v>
      </c>
      <c r="I51" s="10">
        <f t="shared" ca="1" si="0"/>
        <v>5.1369863013698627</v>
      </c>
      <c r="J51" s="11">
        <f t="shared" ca="1" si="1"/>
        <v>1650</v>
      </c>
      <c r="K51" s="8">
        <f t="shared" si="2"/>
        <v>3</v>
      </c>
      <c r="L51" s="9">
        <f t="shared" si="3"/>
        <v>2020</v>
      </c>
    </row>
    <row r="52" spans="1:12" ht="14.4">
      <c r="A52" s="4" t="s">
        <v>90</v>
      </c>
      <c r="B52" s="4" t="s">
        <v>15</v>
      </c>
      <c r="C52" s="4" t="s">
        <v>16</v>
      </c>
      <c r="D52" s="4">
        <v>27</v>
      </c>
      <c r="E52" s="5">
        <v>44134</v>
      </c>
      <c r="F52" s="6">
        <v>54970</v>
      </c>
      <c r="G52" s="4" t="s">
        <v>21</v>
      </c>
      <c r="H52" s="4" t="s">
        <v>18</v>
      </c>
      <c r="I52" s="10">
        <f t="shared" ca="1" si="0"/>
        <v>4.9698630136986299</v>
      </c>
      <c r="J52" s="11">
        <f t="shared" ca="1" si="1"/>
        <v>1650</v>
      </c>
      <c r="K52" s="8">
        <f t="shared" si="2"/>
        <v>3</v>
      </c>
      <c r="L52" s="9">
        <f t="shared" si="3"/>
        <v>2020</v>
      </c>
    </row>
    <row r="53" spans="1:12" ht="14.4">
      <c r="A53" s="4" t="s">
        <v>124</v>
      </c>
      <c r="B53" s="4" t="s">
        <v>23</v>
      </c>
      <c r="C53" s="4" t="s">
        <v>16</v>
      </c>
      <c r="D53" s="4">
        <v>38</v>
      </c>
      <c r="E53" s="5">
        <v>44268</v>
      </c>
      <c r="F53" s="6">
        <v>56870</v>
      </c>
      <c r="G53" s="4" t="s">
        <v>17</v>
      </c>
      <c r="H53" s="4" t="s">
        <v>119</v>
      </c>
      <c r="I53" s="10">
        <f t="shared" ca="1" si="0"/>
        <v>4.602739726027397</v>
      </c>
      <c r="J53" s="11">
        <f t="shared" ca="1" si="1"/>
        <v>1707</v>
      </c>
      <c r="K53" s="8">
        <f t="shared" si="2"/>
        <v>4</v>
      </c>
      <c r="L53" s="9">
        <f t="shared" si="3"/>
        <v>2021</v>
      </c>
    </row>
    <row r="54" spans="1:12" ht="14.4">
      <c r="A54" s="4" t="s">
        <v>92</v>
      </c>
      <c r="B54" s="4" t="s">
        <v>23</v>
      </c>
      <c r="C54" s="4" t="s">
        <v>16</v>
      </c>
      <c r="D54" s="4">
        <v>38</v>
      </c>
      <c r="E54" s="5">
        <v>44329</v>
      </c>
      <c r="F54" s="6">
        <v>56870</v>
      </c>
      <c r="G54" s="4" t="s">
        <v>17</v>
      </c>
      <c r="H54" s="4" t="s">
        <v>18</v>
      </c>
      <c r="I54" s="10">
        <f t="shared" ca="1" si="0"/>
        <v>4.4356164383561643</v>
      </c>
      <c r="J54" s="11">
        <f t="shared" ca="1" si="1"/>
        <v>1707</v>
      </c>
      <c r="K54" s="8">
        <f t="shared" si="2"/>
        <v>4</v>
      </c>
      <c r="L54" s="9">
        <f t="shared" si="3"/>
        <v>2021</v>
      </c>
    </row>
    <row r="55" spans="1:12" ht="14.4">
      <c r="A55" s="4" t="s">
        <v>166</v>
      </c>
      <c r="B55" s="4" t="s">
        <v>15</v>
      </c>
      <c r="C55" s="4" t="s">
        <v>20</v>
      </c>
      <c r="D55" s="4">
        <v>21</v>
      </c>
      <c r="E55" s="5">
        <v>44701</v>
      </c>
      <c r="F55" s="6">
        <v>57090</v>
      </c>
      <c r="G55" s="4" t="s">
        <v>21</v>
      </c>
      <c r="H55" s="4" t="s">
        <v>119</v>
      </c>
      <c r="I55" s="10">
        <f t="shared" ca="1" si="0"/>
        <v>3.4164383561643836</v>
      </c>
      <c r="J55" s="11">
        <f t="shared" ca="1" si="1"/>
        <v>1713</v>
      </c>
      <c r="K55" s="8">
        <f t="shared" si="2"/>
        <v>3</v>
      </c>
      <c r="L55" s="9">
        <f t="shared" si="3"/>
        <v>2022</v>
      </c>
    </row>
    <row r="56" spans="1:12" ht="14.4">
      <c r="A56" s="4" t="s">
        <v>42</v>
      </c>
      <c r="B56" s="4" t="s">
        <v>15</v>
      </c>
      <c r="C56" s="4" t="s">
        <v>20</v>
      </c>
      <c r="D56" s="4">
        <v>21</v>
      </c>
      <c r="E56" s="5">
        <v>44762</v>
      </c>
      <c r="F56" s="6">
        <v>57090</v>
      </c>
      <c r="G56" s="4" t="s">
        <v>21</v>
      </c>
      <c r="H56" s="4" t="s">
        <v>18</v>
      </c>
      <c r="I56" s="10">
        <f t="shared" ca="1" si="0"/>
        <v>3.2493150684931509</v>
      </c>
      <c r="J56" s="11">
        <f t="shared" ca="1" si="1"/>
        <v>1713</v>
      </c>
      <c r="K56" s="8">
        <f t="shared" si="2"/>
        <v>3</v>
      </c>
      <c r="L56" s="9">
        <f t="shared" si="3"/>
        <v>2022</v>
      </c>
    </row>
    <row r="57" spans="1:12" ht="14.4">
      <c r="A57" s="4" t="s">
        <v>145</v>
      </c>
      <c r="B57" s="4" t="s">
        <v>23</v>
      </c>
      <c r="C57" s="4" t="s">
        <v>31</v>
      </c>
      <c r="D57" s="4">
        <v>31</v>
      </c>
      <c r="E57" s="5">
        <v>44604</v>
      </c>
      <c r="F57" s="6">
        <v>58100</v>
      </c>
      <c r="G57" s="4" t="s">
        <v>21</v>
      </c>
      <c r="H57" s="4" t="s">
        <v>119</v>
      </c>
      <c r="I57" s="10">
        <f t="shared" ca="1" si="0"/>
        <v>3.6821917808219178</v>
      </c>
      <c r="J57" s="11">
        <f t="shared" ca="1" si="1"/>
        <v>1743</v>
      </c>
      <c r="K57" s="8">
        <f t="shared" si="2"/>
        <v>3</v>
      </c>
      <c r="L57" s="9">
        <f t="shared" si="3"/>
        <v>2022</v>
      </c>
    </row>
    <row r="58" spans="1:12" ht="14.4">
      <c r="A58" s="4" t="s">
        <v>47</v>
      </c>
      <c r="B58" s="4" t="s">
        <v>23</v>
      </c>
      <c r="C58" s="4" t="s">
        <v>31</v>
      </c>
      <c r="D58" s="4">
        <v>31</v>
      </c>
      <c r="E58" s="5">
        <v>44663</v>
      </c>
      <c r="F58" s="6">
        <v>58100</v>
      </c>
      <c r="G58" s="4" t="s">
        <v>21</v>
      </c>
      <c r="H58" s="4" t="s">
        <v>18</v>
      </c>
      <c r="I58" s="10">
        <f t="shared" ca="1" si="0"/>
        <v>3.5205479452054793</v>
      </c>
      <c r="J58" s="11">
        <f t="shared" ca="1" si="1"/>
        <v>1743</v>
      </c>
      <c r="K58" s="8">
        <f t="shared" si="2"/>
        <v>3</v>
      </c>
      <c r="L58" s="9">
        <f t="shared" si="3"/>
        <v>2022</v>
      </c>
    </row>
    <row r="59" spans="1:12" ht="14.4">
      <c r="A59" s="4" t="s">
        <v>164</v>
      </c>
      <c r="B59" s="4" t="s">
        <v>23</v>
      </c>
      <c r="C59" s="4" t="s">
        <v>25</v>
      </c>
      <c r="D59" s="4">
        <v>34</v>
      </c>
      <c r="E59" s="5">
        <v>44594</v>
      </c>
      <c r="F59" s="6">
        <v>58940</v>
      </c>
      <c r="G59" s="4" t="s">
        <v>21</v>
      </c>
      <c r="H59" s="4" t="s">
        <v>119</v>
      </c>
      <c r="I59" s="10">
        <f t="shared" ca="1" si="0"/>
        <v>3.7095890410958905</v>
      </c>
      <c r="J59" s="11">
        <f t="shared" ca="1" si="1"/>
        <v>1769</v>
      </c>
      <c r="K59" s="8">
        <f t="shared" si="2"/>
        <v>3</v>
      </c>
      <c r="L59" s="9">
        <f t="shared" si="3"/>
        <v>2022</v>
      </c>
    </row>
    <row r="60" spans="1:12" ht="14.4">
      <c r="A60" s="4" t="s">
        <v>45</v>
      </c>
      <c r="B60" s="4" t="s">
        <v>23</v>
      </c>
      <c r="C60" s="4" t="s">
        <v>25</v>
      </c>
      <c r="D60" s="4">
        <v>34</v>
      </c>
      <c r="E60" s="5">
        <v>44653</v>
      </c>
      <c r="F60" s="6">
        <v>58940</v>
      </c>
      <c r="G60" s="4" t="s">
        <v>21</v>
      </c>
      <c r="H60" s="4" t="s">
        <v>18</v>
      </c>
      <c r="I60" s="10">
        <f t="shared" ca="1" si="0"/>
        <v>3.547945205479452</v>
      </c>
      <c r="J60" s="11">
        <f t="shared" ca="1" si="1"/>
        <v>1769</v>
      </c>
      <c r="K60" s="8">
        <f t="shared" si="2"/>
        <v>3</v>
      </c>
      <c r="L60" s="9">
        <f t="shared" si="3"/>
        <v>2022</v>
      </c>
    </row>
    <row r="61" spans="1:12" ht="14.4">
      <c r="A61" s="4" t="s">
        <v>206</v>
      </c>
      <c r="B61" s="4" t="s">
        <v>15</v>
      </c>
      <c r="C61" s="4" t="s">
        <v>20</v>
      </c>
      <c r="D61" s="4">
        <v>19</v>
      </c>
      <c r="E61" s="5">
        <v>44218</v>
      </c>
      <c r="F61" s="6">
        <v>58960</v>
      </c>
      <c r="G61" s="4" t="s">
        <v>21</v>
      </c>
      <c r="H61" s="4" t="s">
        <v>119</v>
      </c>
      <c r="I61" s="10">
        <f t="shared" ca="1" si="0"/>
        <v>4.7397260273972606</v>
      </c>
      <c r="J61" s="11">
        <f t="shared" ca="1" si="1"/>
        <v>1769</v>
      </c>
      <c r="K61" s="8">
        <f t="shared" si="2"/>
        <v>3</v>
      </c>
      <c r="L61" s="9">
        <f t="shared" si="3"/>
        <v>2021</v>
      </c>
    </row>
    <row r="62" spans="1:12" ht="14.4">
      <c r="A62" s="4" t="s">
        <v>75</v>
      </c>
      <c r="B62" s="4" t="s">
        <v>15</v>
      </c>
      <c r="C62" s="4" t="s">
        <v>20</v>
      </c>
      <c r="D62" s="4">
        <v>19</v>
      </c>
      <c r="E62" s="5">
        <v>44277</v>
      </c>
      <c r="F62" s="6">
        <v>58960</v>
      </c>
      <c r="G62" s="4" t="s">
        <v>21</v>
      </c>
      <c r="H62" s="4" t="s">
        <v>18</v>
      </c>
      <c r="I62" s="10">
        <f t="shared" ca="1" si="0"/>
        <v>4.5780821917808217</v>
      </c>
      <c r="J62" s="11">
        <f t="shared" ca="1" si="1"/>
        <v>1769</v>
      </c>
      <c r="K62" s="8">
        <f t="shared" si="2"/>
        <v>3</v>
      </c>
      <c r="L62" s="9">
        <f t="shared" si="3"/>
        <v>2021</v>
      </c>
    </row>
    <row r="63" spans="1:12" ht="14.4">
      <c r="A63" s="4" t="s">
        <v>208</v>
      </c>
      <c r="B63" s="4" t="s">
        <v>15</v>
      </c>
      <c r="C63" s="4" t="s">
        <v>25</v>
      </c>
      <c r="D63" s="4">
        <v>33</v>
      </c>
      <c r="E63" s="5">
        <v>44181</v>
      </c>
      <c r="F63" s="6">
        <v>59430</v>
      </c>
      <c r="G63" s="4" t="s">
        <v>21</v>
      </c>
      <c r="H63" s="4" t="s">
        <v>119</v>
      </c>
      <c r="I63" s="10">
        <f t="shared" ca="1" si="0"/>
        <v>4.8410958904109593</v>
      </c>
      <c r="J63" s="11">
        <f t="shared" ca="1" si="1"/>
        <v>1783</v>
      </c>
      <c r="K63" s="8">
        <f t="shared" si="2"/>
        <v>3</v>
      </c>
      <c r="L63" s="9">
        <f t="shared" si="3"/>
        <v>2020</v>
      </c>
    </row>
    <row r="64" spans="1:12" ht="14.4">
      <c r="A64" s="4" t="s">
        <v>110</v>
      </c>
      <c r="B64" s="4" t="s">
        <v>15</v>
      </c>
      <c r="C64" s="4" t="s">
        <v>25</v>
      </c>
      <c r="D64" s="4">
        <v>33</v>
      </c>
      <c r="E64" s="5">
        <v>44243</v>
      </c>
      <c r="F64" s="6">
        <v>59430</v>
      </c>
      <c r="G64" s="4" t="s">
        <v>21</v>
      </c>
      <c r="H64" s="4" t="s">
        <v>18</v>
      </c>
      <c r="I64" s="10">
        <f t="shared" ca="1" si="0"/>
        <v>4.6712328767123283</v>
      </c>
      <c r="J64" s="11">
        <f t="shared" ca="1" si="1"/>
        <v>1783</v>
      </c>
      <c r="K64" s="8">
        <f t="shared" si="2"/>
        <v>3</v>
      </c>
      <c r="L64" s="9">
        <f t="shared" si="3"/>
        <v>2021</v>
      </c>
    </row>
    <row r="65" spans="1:20" ht="14.4">
      <c r="A65" s="4" t="s">
        <v>192</v>
      </c>
      <c r="B65" s="4" t="s">
        <v>23</v>
      </c>
      <c r="C65" s="4" t="s">
        <v>25</v>
      </c>
      <c r="D65" s="4">
        <v>34</v>
      </c>
      <c r="E65" s="5">
        <v>44550</v>
      </c>
      <c r="F65" s="6">
        <v>60130</v>
      </c>
      <c r="G65" s="4" t="s">
        <v>21</v>
      </c>
      <c r="H65" s="4" t="s">
        <v>119</v>
      </c>
      <c r="I65" s="10">
        <f t="shared" ca="1" si="0"/>
        <v>3.8301369863013699</v>
      </c>
      <c r="J65" s="11">
        <f t="shared" ca="1" si="1"/>
        <v>1804</v>
      </c>
      <c r="K65" s="8">
        <f t="shared" si="2"/>
        <v>3</v>
      </c>
      <c r="L65" s="9">
        <f t="shared" si="3"/>
        <v>2021</v>
      </c>
    </row>
    <row r="66" spans="1:20" ht="14.4">
      <c r="A66" s="4" t="s">
        <v>55</v>
      </c>
      <c r="B66" s="4" t="s">
        <v>23</v>
      </c>
      <c r="C66" s="4" t="s">
        <v>25</v>
      </c>
      <c r="D66" s="4">
        <v>34</v>
      </c>
      <c r="E66" s="5">
        <v>44612</v>
      </c>
      <c r="F66" s="6">
        <v>60130</v>
      </c>
      <c r="G66" s="4" t="s">
        <v>21</v>
      </c>
      <c r="H66" s="4" t="s">
        <v>18</v>
      </c>
      <c r="I66" s="10">
        <f t="shared" ca="1" si="0"/>
        <v>3.6602739726027398</v>
      </c>
      <c r="J66" s="11">
        <f t="shared" ca="1" si="1"/>
        <v>1804</v>
      </c>
      <c r="K66" s="8">
        <f t="shared" si="2"/>
        <v>3</v>
      </c>
      <c r="L66" s="9">
        <f t="shared" si="3"/>
        <v>2022</v>
      </c>
    </row>
    <row r="67" spans="1:20" ht="31.2">
      <c r="A67" s="4" t="s">
        <v>171</v>
      </c>
      <c r="B67" s="4" t="s">
        <v>15</v>
      </c>
      <c r="C67" s="4" t="s">
        <v>20</v>
      </c>
      <c r="D67" s="4">
        <v>30</v>
      </c>
      <c r="E67" s="5">
        <v>44607</v>
      </c>
      <c r="F67" s="6">
        <v>60570</v>
      </c>
      <c r="G67" s="4" t="s">
        <v>21</v>
      </c>
      <c r="H67" s="4" t="s">
        <v>119</v>
      </c>
      <c r="I67" s="10">
        <f t="shared" ca="1" si="0"/>
        <v>3.6739726027397261</v>
      </c>
      <c r="J67" s="11">
        <f t="shared" ca="1" si="1"/>
        <v>1818</v>
      </c>
      <c r="K67" s="8">
        <f t="shared" si="2"/>
        <v>3</v>
      </c>
      <c r="L67" s="9">
        <f t="shared" si="3"/>
        <v>2022</v>
      </c>
      <c r="P67" s="12" t="s">
        <v>244</v>
      </c>
      <c r="Q67" s="16"/>
      <c r="R67" s="16"/>
      <c r="S67" s="18"/>
      <c r="T67" s="17"/>
    </row>
    <row r="68" spans="1:20" ht="14.4">
      <c r="A68" s="4" t="s">
        <v>96</v>
      </c>
      <c r="B68" s="4" t="s">
        <v>15</v>
      </c>
      <c r="C68" s="4" t="s">
        <v>20</v>
      </c>
      <c r="D68" s="4">
        <v>30</v>
      </c>
      <c r="E68" s="5">
        <v>44666</v>
      </c>
      <c r="F68" s="6">
        <v>60570</v>
      </c>
      <c r="G68" s="4" t="s">
        <v>21</v>
      </c>
      <c r="H68" s="4" t="s">
        <v>18</v>
      </c>
      <c r="I68" s="10">
        <f t="shared" ca="1" si="0"/>
        <v>3.5123287671232877</v>
      </c>
      <c r="J68" s="11">
        <f t="shared" ca="1" si="1"/>
        <v>1818</v>
      </c>
      <c r="K68" s="8">
        <f t="shared" si="2"/>
        <v>3</v>
      </c>
      <c r="L68" s="9">
        <f t="shared" si="3"/>
        <v>2022</v>
      </c>
    </row>
    <row r="69" spans="1:20" ht="14.4">
      <c r="A69" s="4" t="s">
        <v>200</v>
      </c>
      <c r="B69" s="4" t="s">
        <v>23</v>
      </c>
      <c r="C69" s="4" t="s">
        <v>31</v>
      </c>
      <c r="D69" s="4">
        <v>24</v>
      </c>
      <c r="E69" s="5">
        <v>44087</v>
      </c>
      <c r="F69" s="6">
        <v>62780</v>
      </c>
      <c r="G69" s="4" t="s">
        <v>21</v>
      </c>
      <c r="H69" s="4" t="s">
        <v>119</v>
      </c>
      <c r="I69" s="10">
        <f t="shared" ca="1" si="0"/>
        <v>5.0986301369863014</v>
      </c>
      <c r="J69" s="11">
        <f t="shared" ca="1" si="1"/>
        <v>1884</v>
      </c>
      <c r="K69" s="8">
        <f t="shared" si="2"/>
        <v>3</v>
      </c>
      <c r="L69" s="9">
        <f t="shared" si="3"/>
        <v>2020</v>
      </c>
    </row>
    <row r="70" spans="1:20" ht="14.4">
      <c r="A70" s="4" t="s">
        <v>30</v>
      </c>
      <c r="B70" s="4" t="s">
        <v>23</v>
      </c>
      <c r="C70" s="4" t="s">
        <v>31</v>
      </c>
      <c r="D70" s="4">
        <v>24</v>
      </c>
      <c r="E70" s="5">
        <v>44148</v>
      </c>
      <c r="F70" s="6">
        <v>62780</v>
      </c>
      <c r="G70" s="4" t="s">
        <v>21</v>
      </c>
      <c r="H70" s="4" t="s">
        <v>18</v>
      </c>
      <c r="I70" s="10">
        <f t="shared" ca="1" si="0"/>
        <v>4.9315068493150687</v>
      </c>
      <c r="J70" s="11">
        <f t="shared" ca="1" si="1"/>
        <v>1884</v>
      </c>
      <c r="K70" s="8">
        <f t="shared" si="2"/>
        <v>3</v>
      </c>
      <c r="L70" s="9">
        <f t="shared" si="3"/>
        <v>2020</v>
      </c>
    </row>
    <row r="71" spans="1:20" ht="14.4">
      <c r="A71" s="4" t="s">
        <v>174</v>
      </c>
      <c r="B71" s="4" t="s">
        <v>215</v>
      </c>
      <c r="C71" s="4" t="s">
        <v>25</v>
      </c>
      <c r="D71" s="4">
        <v>30</v>
      </c>
      <c r="E71" s="5">
        <v>44535</v>
      </c>
      <c r="F71" s="6">
        <v>64000</v>
      </c>
      <c r="G71" s="4" t="s">
        <v>21</v>
      </c>
      <c r="H71" s="4" t="s">
        <v>119</v>
      </c>
      <c r="I71" s="10">
        <f t="shared" ca="1" si="0"/>
        <v>3.871232876712329</v>
      </c>
      <c r="J71" s="11">
        <f t="shared" ca="1" si="1"/>
        <v>1920</v>
      </c>
      <c r="K71" s="8">
        <f t="shared" si="2"/>
        <v>3</v>
      </c>
      <c r="L71" s="9">
        <f t="shared" si="3"/>
        <v>2021</v>
      </c>
    </row>
    <row r="72" spans="1:20" ht="14.4">
      <c r="A72" s="4" t="s">
        <v>49</v>
      </c>
      <c r="B72" s="4" t="s">
        <v>215</v>
      </c>
      <c r="C72" s="4" t="s">
        <v>25</v>
      </c>
      <c r="D72" s="4">
        <v>30</v>
      </c>
      <c r="E72" s="5">
        <v>44597</v>
      </c>
      <c r="F72" s="6">
        <v>64000</v>
      </c>
      <c r="G72" s="4" t="s">
        <v>21</v>
      </c>
      <c r="H72" s="4" t="s">
        <v>18</v>
      </c>
      <c r="I72" s="10">
        <f t="shared" ca="1" si="0"/>
        <v>3.7013698630136984</v>
      </c>
      <c r="J72" s="11">
        <f t="shared" ca="1" si="1"/>
        <v>1920</v>
      </c>
      <c r="K72" s="8">
        <f t="shared" si="2"/>
        <v>3</v>
      </c>
      <c r="L72" s="9">
        <f t="shared" si="3"/>
        <v>2022</v>
      </c>
    </row>
    <row r="73" spans="1:20" ht="14.4">
      <c r="A73" s="4" t="s">
        <v>173</v>
      </c>
      <c r="B73" s="4" t="s">
        <v>23</v>
      </c>
      <c r="C73" s="4" t="s">
        <v>25</v>
      </c>
      <c r="D73" s="4">
        <v>33</v>
      </c>
      <c r="E73" s="5">
        <v>44006</v>
      </c>
      <c r="F73" s="6">
        <v>65360</v>
      </c>
      <c r="G73" s="4" t="s">
        <v>21</v>
      </c>
      <c r="H73" s="4" t="s">
        <v>119</v>
      </c>
      <c r="I73" s="10">
        <f t="shared" ref="I73:I136" ca="1" si="4">(TODAY()-E73)/365</f>
        <v>5.3205479452054796</v>
      </c>
      <c r="J73" s="11">
        <f t="shared" ref="J73:J136" ca="1" si="5">ROUNDUP(IF(I73&gt;3,3%,2%)*F73,0)</f>
        <v>1961</v>
      </c>
      <c r="K73" s="8">
        <f t="shared" si="2"/>
        <v>3</v>
      </c>
      <c r="L73" s="9">
        <f t="shared" si="3"/>
        <v>2020</v>
      </c>
      <c r="P73" t="s">
        <v>242</v>
      </c>
      <c r="Q73" t="s">
        <v>233</v>
      </c>
    </row>
    <row r="74" spans="1:20" ht="14.4">
      <c r="A74" s="4" t="s">
        <v>111</v>
      </c>
      <c r="B74" s="4" t="s">
        <v>23</v>
      </c>
      <c r="C74" s="4" t="s">
        <v>25</v>
      </c>
      <c r="D74" s="4">
        <v>33</v>
      </c>
      <c r="E74" s="5">
        <v>44067</v>
      </c>
      <c r="F74" s="6">
        <v>65360</v>
      </c>
      <c r="G74" s="4" t="s">
        <v>21</v>
      </c>
      <c r="H74" s="4" t="s">
        <v>18</v>
      </c>
      <c r="I74" s="10">
        <f t="shared" ca="1" si="4"/>
        <v>5.1534246575342468</v>
      </c>
      <c r="J74" s="11">
        <f t="shared" ca="1" si="5"/>
        <v>1961</v>
      </c>
      <c r="K74" s="8">
        <f t="shared" ref="K74:K137" si="6">_xlfn.XLOOKUP(G74,$R$36:$R$40,$T$36:$T$40)</f>
        <v>3</v>
      </c>
      <c r="L74" s="9">
        <f t="shared" ref="L74:L137" si="7">YEAR(E74)</f>
        <v>2020</v>
      </c>
      <c r="P74">
        <v>2020</v>
      </c>
      <c r="Q74" s="13">
        <v>37</v>
      </c>
    </row>
    <row r="75" spans="1:20" ht="14.4">
      <c r="A75" s="4" t="s">
        <v>202</v>
      </c>
      <c r="B75" s="4" t="s">
        <v>15</v>
      </c>
      <c r="C75" s="4" t="s">
        <v>16</v>
      </c>
      <c r="D75" s="4">
        <v>25</v>
      </c>
      <c r="E75" s="5">
        <v>44322</v>
      </c>
      <c r="F75" s="6">
        <v>65700</v>
      </c>
      <c r="G75" s="4" t="s">
        <v>21</v>
      </c>
      <c r="H75" s="4" t="s">
        <v>119</v>
      </c>
      <c r="I75" s="10">
        <f t="shared" ca="1" si="4"/>
        <v>4.4547945205479449</v>
      </c>
      <c r="J75" s="11">
        <f t="shared" ca="1" si="5"/>
        <v>1971</v>
      </c>
      <c r="K75" s="8">
        <f t="shared" si="6"/>
        <v>3</v>
      </c>
      <c r="L75" s="9">
        <f t="shared" si="7"/>
        <v>2021</v>
      </c>
      <c r="P75">
        <v>2021</v>
      </c>
      <c r="Q75" s="13">
        <v>82</v>
      </c>
    </row>
    <row r="76" spans="1:20" ht="14.4">
      <c r="A76" s="4" t="s">
        <v>36</v>
      </c>
      <c r="B76" s="4" t="s">
        <v>15</v>
      </c>
      <c r="C76" s="4" t="s">
        <v>16</v>
      </c>
      <c r="D76" s="4">
        <v>25</v>
      </c>
      <c r="E76" s="5">
        <v>44383</v>
      </c>
      <c r="F76" s="6">
        <v>65700</v>
      </c>
      <c r="G76" s="4" t="s">
        <v>21</v>
      </c>
      <c r="H76" s="4" t="s">
        <v>18</v>
      </c>
      <c r="I76" s="10">
        <f t="shared" ca="1" si="4"/>
        <v>4.2876712328767121</v>
      </c>
      <c r="J76" s="11">
        <f t="shared" ca="1" si="5"/>
        <v>1971</v>
      </c>
      <c r="K76" s="8">
        <f t="shared" si="6"/>
        <v>3</v>
      </c>
      <c r="L76" s="9">
        <f t="shared" si="7"/>
        <v>2021</v>
      </c>
      <c r="P76">
        <v>2022</v>
      </c>
      <c r="Q76" s="13">
        <v>62</v>
      </c>
    </row>
    <row r="77" spans="1:20" ht="14.4">
      <c r="A77" s="4" t="s">
        <v>150</v>
      </c>
      <c r="B77" s="4" t="s">
        <v>23</v>
      </c>
      <c r="C77" s="4" t="s">
        <v>25</v>
      </c>
      <c r="D77" s="4">
        <v>21</v>
      </c>
      <c r="E77" s="5">
        <v>44256</v>
      </c>
      <c r="F77" s="6">
        <v>65920</v>
      </c>
      <c r="G77" s="4" t="s">
        <v>21</v>
      </c>
      <c r="H77" s="4" t="s">
        <v>119</v>
      </c>
      <c r="I77" s="10">
        <f t="shared" ca="1" si="4"/>
        <v>4.6356164383561644</v>
      </c>
      <c r="J77" s="11">
        <f t="shared" ca="1" si="5"/>
        <v>1978</v>
      </c>
      <c r="K77" s="8">
        <f t="shared" si="6"/>
        <v>3</v>
      </c>
      <c r="L77" s="9">
        <f t="shared" si="7"/>
        <v>2021</v>
      </c>
      <c r="P77">
        <v>2023</v>
      </c>
      <c r="Q77" s="13">
        <v>2</v>
      </c>
    </row>
    <row r="78" spans="1:20" ht="14.4">
      <c r="A78" s="4" t="s">
        <v>94</v>
      </c>
      <c r="B78" s="4" t="s">
        <v>23</v>
      </c>
      <c r="C78" s="4" t="s">
        <v>25</v>
      </c>
      <c r="D78" s="4">
        <v>21</v>
      </c>
      <c r="E78" s="5">
        <v>44317</v>
      </c>
      <c r="F78" s="6">
        <v>65920</v>
      </c>
      <c r="G78" s="4" t="s">
        <v>21</v>
      </c>
      <c r="H78" s="4" t="s">
        <v>18</v>
      </c>
      <c r="I78" s="10">
        <f t="shared" ca="1" si="4"/>
        <v>4.4684931506849317</v>
      </c>
      <c r="J78" s="11">
        <f t="shared" ca="1" si="5"/>
        <v>1978</v>
      </c>
      <c r="K78" s="8">
        <f t="shared" si="6"/>
        <v>3</v>
      </c>
      <c r="L78" s="9">
        <f t="shared" si="7"/>
        <v>2021</v>
      </c>
      <c r="P78" t="s">
        <v>243</v>
      </c>
      <c r="Q78" s="13">
        <v>183</v>
      </c>
    </row>
    <row r="79" spans="1:20" ht="14.4">
      <c r="A79" s="4" t="s">
        <v>190</v>
      </c>
      <c r="B79" s="4" t="s">
        <v>23</v>
      </c>
      <c r="C79" s="4" t="s">
        <v>25</v>
      </c>
      <c r="D79" s="4">
        <v>30</v>
      </c>
      <c r="E79" s="5">
        <v>44328</v>
      </c>
      <c r="F79" s="6">
        <v>67910</v>
      </c>
      <c r="G79" s="4" t="s">
        <v>26</v>
      </c>
      <c r="H79" s="4" t="s">
        <v>119</v>
      </c>
      <c r="I79" s="10">
        <f t="shared" ca="1" si="4"/>
        <v>4.4383561643835616</v>
      </c>
      <c r="J79" s="11">
        <f t="shared" ca="1" si="5"/>
        <v>2038</v>
      </c>
      <c r="K79" s="8">
        <f t="shared" si="6"/>
        <v>2</v>
      </c>
      <c r="L79" s="9">
        <f t="shared" si="7"/>
        <v>2021</v>
      </c>
    </row>
    <row r="80" spans="1:20" ht="14.4">
      <c r="A80" s="4" t="s">
        <v>46</v>
      </c>
      <c r="B80" s="4" t="s">
        <v>23</v>
      </c>
      <c r="C80" s="4" t="s">
        <v>25</v>
      </c>
      <c r="D80" s="4">
        <v>30</v>
      </c>
      <c r="E80" s="5">
        <v>44389</v>
      </c>
      <c r="F80" s="6">
        <v>67910</v>
      </c>
      <c r="G80" s="4" t="s">
        <v>26</v>
      </c>
      <c r="H80" s="4" t="s">
        <v>18</v>
      </c>
      <c r="I80" s="10">
        <f t="shared" ca="1" si="4"/>
        <v>4.2712328767123289</v>
      </c>
      <c r="J80" s="11">
        <f t="shared" ca="1" si="5"/>
        <v>2038</v>
      </c>
      <c r="K80" s="8">
        <f t="shared" si="6"/>
        <v>2</v>
      </c>
      <c r="L80" s="9">
        <f t="shared" si="7"/>
        <v>2021</v>
      </c>
    </row>
    <row r="81" spans="1:28" ht="14.4">
      <c r="A81" s="4" t="s">
        <v>198</v>
      </c>
      <c r="B81" s="4" t="s">
        <v>15</v>
      </c>
      <c r="C81" s="4" t="s">
        <v>20</v>
      </c>
      <c r="D81" s="4">
        <v>30</v>
      </c>
      <c r="E81" s="5">
        <v>44640</v>
      </c>
      <c r="F81" s="6">
        <v>67950</v>
      </c>
      <c r="G81" s="4" t="s">
        <v>21</v>
      </c>
      <c r="H81" s="4" t="s">
        <v>119</v>
      </c>
      <c r="I81" s="10">
        <f t="shared" ca="1" si="4"/>
        <v>3.5835616438356164</v>
      </c>
      <c r="J81" s="11">
        <f t="shared" ca="1" si="5"/>
        <v>2039</v>
      </c>
      <c r="K81" s="8">
        <f t="shared" si="6"/>
        <v>3</v>
      </c>
      <c r="L81" s="9">
        <f t="shared" si="7"/>
        <v>2022</v>
      </c>
    </row>
    <row r="82" spans="1:28" ht="14.4">
      <c r="A82" s="4" t="s">
        <v>115</v>
      </c>
      <c r="B82" s="4" t="s">
        <v>15</v>
      </c>
      <c r="C82" s="4" t="s">
        <v>20</v>
      </c>
      <c r="D82" s="4">
        <v>30</v>
      </c>
      <c r="E82" s="5">
        <v>44701</v>
      </c>
      <c r="F82" s="6">
        <v>67950</v>
      </c>
      <c r="G82" s="4" t="s">
        <v>21</v>
      </c>
      <c r="H82" s="4" t="s">
        <v>18</v>
      </c>
      <c r="I82" s="10">
        <f t="shared" ca="1" si="4"/>
        <v>3.4164383561643836</v>
      </c>
      <c r="J82" s="11">
        <f t="shared" ca="1" si="5"/>
        <v>2039</v>
      </c>
      <c r="K82" s="8">
        <f t="shared" si="6"/>
        <v>3</v>
      </c>
      <c r="L82" s="9">
        <f t="shared" si="7"/>
        <v>2022</v>
      </c>
    </row>
    <row r="83" spans="1:28" ht="14.4">
      <c r="A83" s="4" t="s">
        <v>179</v>
      </c>
      <c r="B83" s="4" t="s">
        <v>23</v>
      </c>
      <c r="C83" s="4" t="s">
        <v>16</v>
      </c>
      <c r="D83" s="4">
        <v>20</v>
      </c>
      <c r="E83" s="5">
        <v>44476</v>
      </c>
      <c r="F83" s="6">
        <v>68900</v>
      </c>
      <c r="G83" s="4" t="s">
        <v>26</v>
      </c>
      <c r="H83" s="4" t="s">
        <v>119</v>
      </c>
      <c r="I83" s="10">
        <f t="shared" ca="1" si="4"/>
        <v>4.0328767123287674</v>
      </c>
      <c r="J83" s="11">
        <f t="shared" ca="1" si="5"/>
        <v>2067</v>
      </c>
      <c r="K83" s="8">
        <f t="shared" si="6"/>
        <v>2</v>
      </c>
      <c r="L83" s="9">
        <f t="shared" si="7"/>
        <v>2021</v>
      </c>
    </row>
    <row r="84" spans="1:28" ht="14.4">
      <c r="A84" s="4" t="s">
        <v>73</v>
      </c>
      <c r="B84" s="4" t="s">
        <v>23</v>
      </c>
      <c r="C84" s="4" t="s">
        <v>16</v>
      </c>
      <c r="D84" s="4">
        <v>20</v>
      </c>
      <c r="E84" s="5">
        <v>44537</v>
      </c>
      <c r="F84" s="6">
        <v>68900</v>
      </c>
      <c r="G84" s="4" t="s">
        <v>26</v>
      </c>
      <c r="H84" s="4" t="s">
        <v>18</v>
      </c>
      <c r="I84" s="10">
        <f t="shared" ca="1" si="4"/>
        <v>3.8657534246575342</v>
      </c>
      <c r="J84" s="11">
        <f t="shared" ca="1" si="5"/>
        <v>2067</v>
      </c>
      <c r="K84" s="8">
        <f t="shared" si="6"/>
        <v>2</v>
      </c>
      <c r="L84" s="9">
        <f t="shared" si="7"/>
        <v>2021</v>
      </c>
    </row>
    <row r="85" spans="1:28" ht="14.4">
      <c r="A85" s="4" t="s">
        <v>189</v>
      </c>
      <c r="B85" s="4" t="s">
        <v>15</v>
      </c>
      <c r="C85" s="4" t="s">
        <v>31</v>
      </c>
      <c r="D85" s="4">
        <v>37</v>
      </c>
      <c r="E85" s="5">
        <v>44640</v>
      </c>
      <c r="F85" s="6">
        <v>69070</v>
      </c>
      <c r="G85" s="4" t="s">
        <v>21</v>
      </c>
      <c r="H85" s="4" t="s">
        <v>119</v>
      </c>
      <c r="I85" s="10">
        <f t="shared" ca="1" si="4"/>
        <v>3.5835616438356164</v>
      </c>
      <c r="J85" s="11">
        <f t="shared" ca="1" si="5"/>
        <v>2073</v>
      </c>
      <c r="K85" s="8">
        <f t="shared" si="6"/>
        <v>3</v>
      </c>
      <c r="L85" s="9">
        <f t="shared" si="7"/>
        <v>2022</v>
      </c>
    </row>
    <row r="86" spans="1:28" ht="14.4">
      <c r="A86" s="4" t="s">
        <v>37</v>
      </c>
      <c r="B86" s="4" t="s">
        <v>15</v>
      </c>
      <c r="C86" s="4" t="s">
        <v>31</v>
      </c>
      <c r="D86" s="4">
        <v>37</v>
      </c>
      <c r="E86" s="5">
        <v>44701</v>
      </c>
      <c r="F86" s="6">
        <v>69070</v>
      </c>
      <c r="G86" s="4" t="s">
        <v>21</v>
      </c>
      <c r="H86" s="4" t="s">
        <v>18</v>
      </c>
      <c r="I86" s="10">
        <f t="shared" ca="1" si="4"/>
        <v>3.4164383561643836</v>
      </c>
      <c r="J86" s="11">
        <f t="shared" ca="1" si="5"/>
        <v>2073</v>
      </c>
      <c r="K86" s="8">
        <f t="shared" si="6"/>
        <v>3</v>
      </c>
      <c r="L86" s="9">
        <f t="shared" si="7"/>
        <v>2022</v>
      </c>
    </row>
    <row r="87" spans="1:28" ht="14.4">
      <c r="A87" s="4" t="s">
        <v>191</v>
      </c>
      <c r="B87" s="4" t="s">
        <v>15</v>
      </c>
      <c r="C87" s="4" t="s">
        <v>31</v>
      </c>
      <c r="D87" s="4">
        <v>30</v>
      </c>
      <c r="E87" s="5">
        <v>44214</v>
      </c>
      <c r="F87" s="6">
        <v>69120</v>
      </c>
      <c r="G87" s="4" t="s">
        <v>21</v>
      </c>
      <c r="H87" s="4" t="s">
        <v>119</v>
      </c>
      <c r="I87" s="10">
        <f t="shared" ca="1" si="4"/>
        <v>4.7506849315068491</v>
      </c>
      <c r="J87" s="11">
        <f t="shared" ca="1" si="5"/>
        <v>2074</v>
      </c>
      <c r="K87" s="8">
        <f t="shared" si="6"/>
        <v>3</v>
      </c>
      <c r="L87" s="9">
        <f t="shared" si="7"/>
        <v>2021</v>
      </c>
    </row>
    <row r="88" spans="1:28" ht="14.4">
      <c r="A88" s="4" t="s">
        <v>84</v>
      </c>
      <c r="B88" s="4" t="s">
        <v>15</v>
      </c>
      <c r="C88" s="4" t="s">
        <v>31</v>
      </c>
      <c r="D88" s="4">
        <v>30</v>
      </c>
      <c r="E88" s="5">
        <v>44273</v>
      </c>
      <c r="F88" s="6">
        <v>69120</v>
      </c>
      <c r="G88" s="4" t="s">
        <v>21</v>
      </c>
      <c r="H88" s="4" t="s">
        <v>18</v>
      </c>
      <c r="I88" s="10">
        <f t="shared" ca="1" si="4"/>
        <v>4.5890410958904111</v>
      </c>
      <c r="J88" s="11">
        <f t="shared" ca="1" si="5"/>
        <v>2074</v>
      </c>
      <c r="K88" s="8">
        <f t="shared" si="6"/>
        <v>3</v>
      </c>
      <c r="L88" s="9">
        <f t="shared" si="7"/>
        <v>2021</v>
      </c>
    </row>
    <row r="89" spans="1:28" ht="14.4">
      <c r="A89" s="4" t="s">
        <v>136</v>
      </c>
      <c r="B89" s="4" t="s">
        <v>15</v>
      </c>
      <c r="C89" s="4" t="s">
        <v>31</v>
      </c>
      <c r="D89" s="4">
        <v>30</v>
      </c>
      <c r="E89" s="5">
        <v>44789</v>
      </c>
      <c r="F89" s="6">
        <v>69710</v>
      </c>
      <c r="G89" s="4" t="s">
        <v>21</v>
      </c>
      <c r="H89" s="4" t="s">
        <v>119</v>
      </c>
      <c r="I89" s="10">
        <f t="shared" ca="1" si="4"/>
        <v>3.1753424657534248</v>
      </c>
      <c r="J89" s="11">
        <f t="shared" ca="1" si="5"/>
        <v>2092</v>
      </c>
      <c r="K89" s="8">
        <f t="shared" si="6"/>
        <v>3</v>
      </c>
      <c r="L89" s="9">
        <f t="shared" si="7"/>
        <v>2022</v>
      </c>
    </row>
    <row r="90" spans="1:28" ht="14.4">
      <c r="A90" s="4" t="s">
        <v>80</v>
      </c>
      <c r="B90" s="4" t="s">
        <v>15</v>
      </c>
      <c r="C90" s="4" t="s">
        <v>31</v>
      </c>
      <c r="D90" s="4">
        <v>30</v>
      </c>
      <c r="E90" s="5">
        <v>44850</v>
      </c>
      <c r="F90" s="6">
        <v>69710</v>
      </c>
      <c r="G90" s="4" t="s">
        <v>21</v>
      </c>
      <c r="H90" s="4" t="s">
        <v>18</v>
      </c>
      <c r="I90" s="10">
        <f t="shared" ca="1" si="4"/>
        <v>3.0082191780821916</v>
      </c>
      <c r="J90" s="11">
        <f t="shared" ca="1" si="5"/>
        <v>2092</v>
      </c>
      <c r="K90" s="8">
        <f t="shared" si="6"/>
        <v>3</v>
      </c>
      <c r="L90" s="9">
        <f t="shared" si="7"/>
        <v>2022</v>
      </c>
    </row>
    <row r="91" spans="1:28" ht="14.4">
      <c r="A91" s="4" t="s">
        <v>168</v>
      </c>
      <c r="B91" s="4" t="s">
        <v>15</v>
      </c>
      <c r="C91" s="4" t="s">
        <v>25</v>
      </c>
      <c r="D91" s="4">
        <v>42</v>
      </c>
      <c r="E91" s="5">
        <v>44670</v>
      </c>
      <c r="F91" s="6">
        <v>70270</v>
      </c>
      <c r="G91" s="4" t="s">
        <v>26</v>
      </c>
      <c r="H91" s="4" t="s">
        <v>119</v>
      </c>
      <c r="I91" s="10">
        <f t="shared" ca="1" si="4"/>
        <v>3.5013698630136987</v>
      </c>
      <c r="J91" s="11">
        <f t="shared" ca="1" si="5"/>
        <v>2109</v>
      </c>
      <c r="K91" s="8">
        <f t="shared" si="6"/>
        <v>2</v>
      </c>
      <c r="L91" s="9">
        <f t="shared" si="7"/>
        <v>2022</v>
      </c>
    </row>
    <row r="92" spans="1:28" ht="25.8">
      <c r="A92" s="4" t="s">
        <v>116</v>
      </c>
      <c r="B92" s="4" t="s">
        <v>15</v>
      </c>
      <c r="C92" s="4" t="s">
        <v>25</v>
      </c>
      <c r="D92" s="4">
        <v>42</v>
      </c>
      <c r="E92" s="5">
        <v>44731</v>
      </c>
      <c r="F92" s="6">
        <v>70270</v>
      </c>
      <c r="G92" s="4" t="s">
        <v>26</v>
      </c>
      <c r="H92" s="4" t="s">
        <v>18</v>
      </c>
      <c r="I92" s="10">
        <f t="shared" ca="1" si="4"/>
        <v>3.3342465753424659</v>
      </c>
      <c r="J92" s="11">
        <f t="shared" ca="1" si="5"/>
        <v>2109</v>
      </c>
      <c r="K92" s="8">
        <f t="shared" si="6"/>
        <v>2</v>
      </c>
      <c r="L92" s="9">
        <f t="shared" si="7"/>
        <v>2022</v>
      </c>
      <c r="P92" s="19" t="s">
        <v>240</v>
      </c>
      <c r="Q92" s="20"/>
      <c r="T92" s="21" t="s">
        <v>245</v>
      </c>
      <c r="Z92" s="21" t="s">
        <v>246</v>
      </c>
    </row>
    <row r="93" spans="1:28" ht="14.4">
      <c r="A93" s="4" t="s">
        <v>207</v>
      </c>
      <c r="B93" s="4" t="s">
        <v>15</v>
      </c>
      <c r="C93" s="4" t="s">
        <v>20</v>
      </c>
      <c r="D93" s="4">
        <v>46</v>
      </c>
      <c r="E93" s="5">
        <v>44697</v>
      </c>
      <c r="F93" s="6">
        <v>70610</v>
      </c>
      <c r="G93" s="4" t="s">
        <v>21</v>
      </c>
      <c r="H93" s="4" t="s">
        <v>119</v>
      </c>
      <c r="I93" s="10">
        <f t="shared" ca="1" si="4"/>
        <v>3.4273972602739726</v>
      </c>
      <c r="J93" s="11">
        <f t="shared" ca="1" si="5"/>
        <v>2119</v>
      </c>
      <c r="K93" s="8">
        <f t="shared" si="6"/>
        <v>3</v>
      </c>
      <c r="L93" s="9">
        <f t="shared" si="7"/>
        <v>2022</v>
      </c>
      <c r="T93" s="22"/>
      <c r="W93" s="23"/>
    </row>
    <row r="94" spans="1:28" ht="14.4">
      <c r="A94" s="4" t="s">
        <v>19</v>
      </c>
      <c r="B94" s="4" t="s">
        <v>15</v>
      </c>
      <c r="C94" s="4" t="s">
        <v>20</v>
      </c>
      <c r="D94" s="4">
        <v>46</v>
      </c>
      <c r="E94" s="5">
        <v>44758</v>
      </c>
      <c r="F94" s="6">
        <v>70610</v>
      </c>
      <c r="G94" s="4" t="s">
        <v>21</v>
      </c>
      <c r="H94" s="4" t="s">
        <v>18</v>
      </c>
      <c r="I94" s="10">
        <f t="shared" ca="1" si="4"/>
        <v>3.2602739726027399</v>
      </c>
      <c r="J94" s="11">
        <f t="shared" ca="1" si="5"/>
        <v>2119</v>
      </c>
      <c r="K94" s="8">
        <f t="shared" si="6"/>
        <v>3</v>
      </c>
      <c r="L94" s="9">
        <f t="shared" si="7"/>
        <v>2022</v>
      </c>
    </row>
    <row r="95" spans="1:28" ht="14.4">
      <c r="A95" s="4" t="s">
        <v>185</v>
      </c>
      <c r="B95" s="4" t="s">
        <v>15</v>
      </c>
      <c r="C95" s="4" t="s">
        <v>25</v>
      </c>
      <c r="D95" s="4">
        <v>36</v>
      </c>
      <c r="E95" s="5">
        <v>44272</v>
      </c>
      <c r="F95" s="6">
        <v>71380</v>
      </c>
      <c r="G95" s="4" t="s">
        <v>21</v>
      </c>
      <c r="H95" s="4" t="s">
        <v>119</v>
      </c>
      <c r="I95" s="10">
        <f t="shared" ca="1" si="4"/>
        <v>4.5917808219178085</v>
      </c>
      <c r="J95" s="11">
        <f t="shared" ca="1" si="5"/>
        <v>2142</v>
      </c>
      <c r="K95" s="8">
        <f t="shared" si="6"/>
        <v>3</v>
      </c>
      <c r="L95" s="9">
        <f t="shared" si="7"/>
        <v>2021</v>
      </c>
    </row>
    <row r="96" spans="1:28" ht="56.25" customHeight="1">
      <c r="A96" s="4" t="s">
        <v>81</v>
      </c>
      <c r="B96" s="4" t="s">
        <v>15</v>
      </c>
      <c r="C96" s="4" t="s">
        <v>25</v>
      </c>
      <c r="D96" s="4">
        <v>36</v>
      </c>
      <c r="E96" s="5">
        <v>44333</v>
      </c>
      <c r="F96" s="6">
        <v>71380</v>
      </c>
      <c r="G96" s="4" t="s">
        <v>21</v>
      </c>
      <c r="H96" s="4" t="s">
        <v>18</v>
      </c>
      <c r="I96" s="10">
        <f t="shared" ca="1" si="4"/>
        <v>4.4246575342465757</v>
      </c>
      <c r="J96" s="11">
        <f t="shared" ca="1" si="5"/>
        <v>2142</v>
      </c>
      <c r="K96" s="8">
        <f t="shared" si="6"/>
        <v>3</v>
      </c>
      <c r="L96" s="9">
        <f t="shared" si="7"/>
        <v>2021</v>
      </c>
      <c r="R96" s="24">
        <f>COUNTIF(H9:H191,"NZ")</f>
        <v>91</v>
      </c>
      <c r="T96" s="25">
        <f>COUNTIFS(H9:H191,"NZ",B9:B191,"Female")/R96</f>
        <v>0.47252747252747301</v>
      </c>
      <c r="V96" s="26">
        <f>AVERAGEIFS(F9:F191,H9:H191,"NZ")</f>
        <v>76978.791208791197</v>
      </c>
      <c r="X96" s="27">
        <f>COUNTIF(H9:H191,"IND")</f>
        <v>92</v>
      </c>
      <c r="Z96" s="28">
        <f>COUNTIFS(H9:H191,"IND",B9:B191,"Female")/X96</f>
        <v>0.467391304347826</v>
      </c>
      <c r="AB96" s="29">
        <f>AVERAGEIFS(F9:F191,H9:H191,"IND")</f>
        <v>77366.521739130403</v>
      </c>
    </row>
    <row r="97" spans="1:27" ht="14.4">
      <c r="A97" s="4" t="s">
        <v>127</v>
      </c>
      <c r="B97" s="4" t="s">
        <v>15</v>
      </c>
      <c r="C97" s="4" t="s">
        <v>16</v>
      </c>
      <c r="D97" s="4">
        <v>33</v>
      </c>
      <c r="E97" s="5">
        <v>44324</v>
      </c>
      <c r="F97" s="6">
        <v>74550</v>
      </c>
      <c r="G97" s="4" t="s">
        <v>21</v>
      </c>
      <c r="H97" s="4" t="s">
        <v>119</v>
      </c>
      <c r="I97" s="10">
        <f t="shared" ca="1" si="4"/>
        <v>4.4493150684931511</v>
      </c>
      <c r="J97" s="11">
        <f t="shared" ca="1" si="5"/>
        <v>2237</v>
      </c>
      <c r="K97" s="8">
        <f t="shared" si="6"/>
        <v>3</v>
      </c>
      <c r="L97" s="9">
        <f t="shared" si="7"/>
        <v>2021</v>
      </c>
    </row>
    <row r="98" spans="1:27" ht="14.4">
      <c r="A98" s="4" t="s">
        <v>114</v>
      </c>
      <c r="B98" s="4" t="s">
        <v>15</v>
      </c>
      <c r="C98" s="4" t="s">
        <v>16</v>
      </c>
      <c r="D98" s="4">
        <v>33</v>
      </c>
      <c r="E98" s="5">
        <v>44385</v>
      </c>
      <c r="F98" s="6">
        <v>74550</v>
      </c>
      <c r="G98" s="4" t="s">
        <v>21</v>
      </c>
      <c r="H98" s="4" t="s">
        <v>18</v>
      </c>
      <c r="I98" s="10">
        <f t="shared" ca="1" si="4"/>
        <v>4.2821917808219174</v>
      </c>
      <c r="J98" s="11">
        <f t="shared" ca="1" si="5"/>
        <v>2237</v>
      </c>
      <c r="K98" s="8">
        <f t="shared" si="6"/>
        <v>3</v>
      </c>
      <c r="L98" s="9">
        <f t="shared" si="7"/>
        <v>2021</v>
      </c>
    </row>
    <row r="99" spans="1:27" ht="14.4">
      <c r="A99" s="4" t="s">
        <v>142</v>
      </c>
      <c r="B99" s="4" t="s">
        <v>23</v>
      </c>
      <c r="C99" s="4" t="s">
        <v>20</v>
      </c>
      <c r="D99" s="4">
        <v>42</v>
      </c>
      <c r="E99" s="5">
        <v>44718</v>
      </c>
      <c r="F99" s="6">
        <v>75000</v>
      </c>
      <c r="G99" s="4" t="s">
        <v>51</v>
      </c>
      <c r="H99" s="4" t="s">
        <v>119</v>
      </c>
      <c r="I99" s="10">
        <f t="shared" ca="1" si="4"/>
        <v>3.3698630136986303</v>
      </c>
      <c r="J99" s="11">
        <f t="shared" ca="1" si="5"/>
        <v>2250</v>
      </c>
      <c r="K99" s="8">
        <f t="shared" si="6"/>
        <v>5</v>
      </c>
      <c r="L99" s="9">
        <f t="shared" si="7"/>
        <v>2022</v>
      </c>
    </row>
    <row r="100" spans="1:27" ht="14.4">
      <c r="A100" s="4" t="s">
        <v>50</v>
      </c>
      <c r="B100" s="4" t="s">
        <v>23</v>
      </c>
      <c r="C100" s="4" t="s">
        <v>20</v>
      </c>
      <c r="D100" s="4">
        <v>42</v>
      </c>
      <c r="E100" s="5">
        <v>44779</v>
      </c>
      <c r="F100" s="6">
        <v>75000</v>
      </c>
      <c r="G100" s="4" t="s">
        <v>51</v>
      </c>
      <c r="H100" s="4" t="s">
        <v>18</v>
      </c>
      <c r="I100" s="10">
        <f t="shared" ca="1" si="4"/>
        <v>3.2027397260273971</v>
      </c>
      <c r="J100" s="11">
        <f t="shared" ca="1" si="5"/>
        <v>2250</v>
      </c>
      <c r="K100" s="8">
        <f t="shared" si="6"/>
        <v>5</v>
      </c>
      <c r="L100" s="9">
        <f t="shared" si="7"/>
        <v>2022</v>
      </c>
    </row>
    <row r="101" spans="1:27" ht="14.4">
      <c r="A101" s="4" t="s">
        <v>163</v>
      </c>
      <c r="B101" s="4" t="s">
        <v>23</v>
      </c>
      <c r="C101" s="4" t="s">
        <v>31</v>
      </c>
      <c r="D101" s="4">
        <v>33</v>
      </c>
      <c r="E101" s="5">
        <v>44253</v>
      </c>
      <c r="F101" s="6">
        <v>75280</v>
      </c>
      <c r="G101" s="4" t="s">
        <v>21</v>
      </c>
      <c r="H101" s="4" t="s">
        <v>119</v>
      </c>
      <c r="I101" s="10">
        <f t="shared" ca="1" si="4"/>
        <v>4.6438356164383565</v>
      </c>
      <c r="J101" s="11">
        <f t="shared" ca="1" si="5"/>
        <v>2259</v>
      </c>
      <c r="K101" s="8">
        <f t="shared" si="6"/>
        <v>3</v>
      </c>
      <c r="L101" s="9">
        <f t="shared" si="7"/>
        <v>2021</v>
      </c>
      <c r="Z101" t="s">
        <v>13</v>
      </c>
      <c r="AA101" t="s">
        <v>119</v>
      </c>
    </row>
    <row r="102" spans="1:27" ht="14.4">
      <c r="A102" s="4" t="s">
        <v>113</v>
      </c>
      <c r="B102" s="4" t="s">
        <v>23</v>
      </c>
      <c r="C102" s="4" t="s">
        <v>31</v>
      </c>
      <c r="D102" s="4">
        <v>33</v>
      </c>
      <c r="E102" s="5">
        <v>44312</v>
      </c>
      <c r="F102" s="6">
        <v>75280</v>
      </c>
      <c r="G102" s="4" t="s">
        <v>21</v>
      </c>
      <c r="H102" s="4" t="s">
        <v>18</v>
      </c>
      <c r="I102" s="10">
        <f t="shared" ca="1" si="4"/>
        <v>4.4821917808219176</v>
      </c>
      <c r="J102" s="11">
        <f t="shared" ca="1" si="5"/>
        <v>2259</v>
      </c>
      <c r="K102" s="8">
        <f t="shared" si="6"/>
        <v>3</v>
      </c>
      <c r="L102" s="9">
        <f t="shared" si="7"/>
        <v>2021</v>
      </c>
      <c r="T102" t="s">
        <v>13</v>
      </c>
      <c r="U102" t="s">
        <v>18</v>
      </c>
    </row>
    <row r="103" spans="1:27" ht="14.4">
      <c r="A103" s="4" t="s">
        <v>203</v>
      </c>
      <c r="B103" s="4" t="s">
        <v>23</v>
      </c>
      <c r="C103" s="4" t="s">
        <v>31</v>
      </c>
      <c r="D103" s="4">
        <v>33</v>
      </c>
      <c r="E103" s="5">
        <v>44313</v>
      </c>
      <c r="F103" s="6">
        <v>75480</v>
      </c>
      <c r="G103" s="4" t="s">
        <v>57</v>
      </c>
      <c r="H103" s="4" t="s">
        <v>119</v>
      </c>
      <c r="I103" s="10">
        <f t="shared" ca="1" si="4"/>
        <v>4.4794520547945202</v>
      </c>
      <c r="J103" s="11">
        <f t="shared" ca="1" si="5"/>
        <v>2265</v>
      </c>
      <c r="K103" s="8">
        <f t="shared" si="6"/>
        <v>1</v>
      </c>
      <c r="L103" s="9">
        <f t="shared" si="7"/>
        <v>2021</v>
      </c>
      <c r="Z103" t="s">
        <v>8</v>
      </c>
      <c r="AA103" t="s">
        <v>233</v>
      </c>
    </row>
    <row r="104" spans="1:27" ht="14.4">
      <c r="A104" s="4" t="s">
        <v>56</v>
      </c>
      <c r="B104" s="4" t="s">
        <v>23</v>
      </c>
      <c r="C104" s="4" t="s">
        <v>31</v>
      </c>
      <c r="D104" s="4">
        <v>33</v>
      </c>
      <c r="E104" s="5">
        <v>44374</v>
      </c>
      <c r="F104" s="6">
        <v>75480</v>
      </c>
      <c r="G104" s="4" t="s">
        <v>57</v>
      </c>
      <c r="H104" s="4" t="s">
        <v>18</v>
      </c>
      <c r="I104" s="10">
        <f t="shared" ca="1" si="4"/>
        <v>4.3123287671232875</v>
      </c>
      <c r="J104" s="11">
        <f t="shared" ca="1" si="5"/>
        <v>2265</v>
      </c>
      <c r="K104" s="8">
        <f t="shared" si="6"/>
        <v>1</v>
      </c>
      <c r="L104" s="9">
        <f t="shared" si="7"/>
        <v>2021</v>
      </c>
      <c r="T104" t="s">
        <v>8</v>
      </c>
      <c r="U104" t="s">
        <v>233</v>
      </c>
      <c r="Z104" t="s">
        <v>20</v>
      </c>
      <c r="AA104" s="13">
        <v>28</v>
      </c>
    </row>
    <row r="105" spans="1:27" ht="14.4">
      <c r="A105" s="4" t="s">
        <v>159</v>
      </c>
      <c r="B105" s="4" t="s">
        <v>15</v>
      </c>
      <c r="C105" s="4" t="s">
        <v>34</v>
      </c>
      <c r="D105" s="4">
        <v>21</v>
      </c>
      <c r="E105" s="5">
        <v>44180</v>
      </c>
      <c r="F105" s="6">
        <v>75880</v>
      </c>
      <c r="G105" s="4" t="s">
        <v>21</v>
      </c>
      <c r="H105" s="4" t="s">
        <v>119</v>
      </c>
      <c r="I105" s="10">
        <f t="shared" ca="1" si="4"/>
        <v>4.8438356164383558</v>
      </c>
      <c r="J105" s="11">
        <f t="shared" ca="1" si="5"/>
        <v>2277</v>
      </c>
      <c r="K105" s="8">
        <f t="shared" si="6"/>
        <v>3</v>
      </c>
      <c r="L105" s="9">
        <f t="shared" si="7"/>
        <v>2020</v>
      </c>
      <c r="T105" t="s">
        <v>31</v>
      </c>
      <c r="U105" s="13">
        <v>27</v>
      </c>
      <c r="Z105" t="s">
        <v>31</v>
      </c>
      <c r="AA105" s="13">
        <v>27</v>
      </c>
    </row>
    <row r="106" spans="1:27" ht="14.4">
      <c r="A106" s="4" t="s">
        <v>44</v>
      </c>
      <c r="B106" s="4" t="s">
        <v>15</v>
      </c>
      <c r="C106" s="4" t="s">
        <v>34</v>
      </c>
      <c r="D106" s="4">
        <v>21</v>
      </c>
      <c r="E106" s="5">
        <v>44242</v>
      </c>
      <c r="F106" s="6">
        <v>75880</v>
      </c>
      <c r="G106" s="4" t="s">
        <v>21</v>
      </c>
      <c r="H106" s="4" t="s">
        <v>18</v>
      </c>
      <c r="I106" s="10">
        <f t="shared" ca="1" si="4"/>
        <v>4.6739726027397257</v>
      </c>
      <c r="J106" s="11">
        <f t="shared" ca="1" si="5"/>
        <v>2277</v>
      </c>
      <c r="K106" s="8">
        <f t="shared" si="6"/>
        <v>3</v>
      </c>
      <c r="L106" s="9">
        <f t="shared" si="7"/>
        <v>2021</v>
      </c>
      <c r="T106" t="s">
        <v>20</v>
      </c>
      <c r="U106" s="13">
        <v>27</v>
      </c>
      <c r="Z106" t="s">
        <v>25</v>
      </c>
      <c r="AA106" s="13">
        <v>19</v>
      </c>
    </row>
    <row r="107" spans="1:27" ht="14.4">
      <c r="A107" s="4" t="s">
        <v>169</v>
      </c>
      <c r="B107" s="4" t="s">
        <v>23</v>
      </c>
      <c r="C107" s="4" t="s">
        <v>25</v>
      </c>
      <c r="D107" s="4">
        <v>28</v>
      </c>
      <c r="E107" s="5">
        <v>44124</v>
      </c>
      <c r="F107" s="6">
        <v>75970</v>
      </c>
      <c r="G107" s="4" t="s">
        <v>21</v>
      </c>
      <c r="H107" s="4" t="s">
        <v>119</v>
      </c>
      <c r="I107" s="10">
        <f t="shared" ca="1" si="4"/>
        <v>4.9972602739726026</v>
      </c>
      <c r="J107" s="11">
        <f t="shared" ca="1" si="5"/>
        <v>2280</v>
      </c>
      <c r="K107" s="8">
        <f t="shared" si="6"/>
        <v>3</v>
      </c>
      <c r="L107" s="9">
        <f t="shared" si="7"/>
        <v>2020</v>
      </c>
      <c r="T107" t="s">
        <v>25</v>
      </c>
      <c r="U107" s="13">
        <v>19</v>
      </c>
      <c r="Z107" t="s">
        <v>16</v>
      </c>
      <c r="AA107" s="13">
        <v>14</v>
      </c>
    </row>
    <row r="108" spans="1:27" ht="14.4">
      <c r="A108" s="4" t="s">
        <v>54</v>
      </c>
      <c r="B108" s="4" t="s">
        <v>23</v>
      </c>
      <c r="C108" s="4" t="s">
        <v>25</v>
      </c>
      <c r="D108" s="4">
        <v>28</v>
      </c>
      <c r="E108" s="5">
        <v>44185</v>
      </c>
      <c r="F108" s="6">
        <v>75970</v>
      </c>
      <c r="G108" s="4" t="s">
        <v>21</v>
      </c>
      <c r="H108" s="4" t="s">
        <v>18</v>
      </c>
      <c r="I108" s="10">
        <f t="shared" ca="1" si="4"/>
        <v>4.8301369863013699</v>
      </c>
      <c r="J108" s="11">
        <f t="shared" ca="1" si="5"/>
        <v>2280</v>
      </c>
      <c r="K108" s="8">
        <f t="shared" si="6"/>
        <v>3</v>
      </c>
      <c r="L108" s="9">
        <f t="shared" si="7"/>
        <v>2020</v>
      </c>
      <c r="T108" t="s">
        <v>16</v>
      </c>
      <c r="U108" s="13">
        <v>14</v>
      </c>
      <c r="Z108" t="s">
        <v>34</v>
      </c>
      <c r="AA108" s="13">
        <v>4</v>
      </c>
    </row>
    <row r="109" spans="1:27" ht="14.4">
      <c r="A109" s="4" t="s">
        <v>138</v>
      </c>
      <c r="B109" s="4" t="s">
        <v>23</v>
      </c>
      <c r="C109" s="4" t="s">
        <v>20</v>
      </c>
      <c r="D109" s="4">
        <v>22</v>
      </c>
      <c r="E109" s="5">
        <v>44388</v>
      </c>
      <c r="F109" s="6">
        <v>76900</v>
      </c>
      <c r="G109" s="4" t="s">
        <v>17</v>
      </c>
      <c r="H109" s="4" t="s">
        <v>119</v>
      </c>
      <c r="I109" s="10">
        <f t="shared" ca="1" si="4"/>
        <v>4.2739726027397262</v>
      </c>
      <c r="J109" s="11">
        <f t="shared" ca="1" si="5"/>
        <v>2307</v>
      </c>
      <c r="K109" s="8">
        <f t="shared" si="6"/>
        <v>4</v>
      </c>
      <c r="L109" s="9">
        <f t="shared" si="7"/>
        <v>2021</v>
      </c>
      <c r="T109" t="s">
        <v>34</v>
      </c>
      <c r="U109" s="13">
        <v>4</v>
      </c>
      <c r="Z109" t="s">
        <v>243</v>
      </c>
      <c r="AA109" s="13">
        <v>92</v>
      </c>
    </row>
    <row r="110" spans="1:27" ht="14.4">
      <c r="A110" s="4" t="s">
        <v>86</v>
      </c>
      <c r="B110" s="4" t="s">
        <v>23</v>
      </c>
      <c r="C110" s="4" t="s">
        <v>20</v>
      </c>
      <c r="D110" s="4">
        <v>22</v>
      </c>
      <c r="E110" s="5">
        <v>44450</v>
      </c>
      <c r="F110" s="6">
        <v>76900</v>
      </c>
      <c r="G110" s="4" t="s">
        <v>17</v>
      </c>
      <c r="H110" s="4" t="s">
        <v>18</v>
      </c>
      <c r="I110" s="10">
        <f t="shared" ca="1" si="4"/>
        <v>4.1041095890410961</v>
      </c>
      <c r="J110" s="11">
        <f t="shared" ca="1" si="5"/>
        <v>2307</v>
      </c>
      <c r="K110" s="8">
        <f t="shared" si="6"/>
        <v>4</v>
      </c>
      <c r="L110" s="9">
        <f t="shared" si="7"/>
        <v>2021</v>
      </c>
      <c r="T110" t="s">
        <v>243</v>
      </c>
      <c r="U110" s="13">
        <v>91</v>
      </c>
    </row>
    <row r="111" spans="1:27" ht="14.4">
      <c r="A111" s="4" t="s">
        <v>195</v>
      </c>
      <c r="B111" s="4" t="s">
        <v>23</v>
      </c>
      <c r="C111" s="4" t="s">
        <v>20</v>
      </c>
      <c r="D111" s="4">
        <v>36</v>
      </c>
      <c r="E111" s="5">
        <v>44468</v>
      </c>
      <c r="F111" s="6">
        <v>78390</v>
      </c>
      <c r="G111" s="4" t="s">
        <v>21</v>
      </c>
      <c r="H111" s="4" t="s">
        <v>119</v>
      </c>
      <c r="I111" s="10">
        <f t="shared" ca="1" si="4"/>
        <v>4.0547945205479454</v>
      </c>
      <c r="J111" s="11">
        <f t="shared" ca="1" si="5"/>
        <v>2352</v>
      </c>
      <c r="K111" s="8">
        <f t="shared" si="6"/>
        <v>3</v>
      </c>
      <c r="L111" s="9">
        <f t="shared" si="7"/>
        <v>2021</v>
      </c>
    </row>
    <row r="112" spans="1:27" ht="14.4">
      <c r="A112" s="4" t="s">
        <v>67</v>
      </c>
      <c r="B112" s="4" t="s">
        <v>23</v>
      </c>
      <c r="C112" s="4" t="s">
        <v>20</v>
      </c>
      <c r="D112" s="4">
        <v>36</v>
      </c>
      <c r="E112" s="5">
        <v>44529</v>
      </c>
      <c r="F112" s="6">
        <v>78390</v>
      </c>
      <c r="G112" s="4" t="s">
        <v>21</v>
      </c>
      <c r="H112" s="4" t="s">
        <v>18</v>
      </c>
      <c r="I112" s="10">
        <f t="shared" ca="1" si="4"/>
        <v>3.8876712328767122</v>
      </c>
      <c r="J112" s="11">
        <f t="shared" ca="1" si="5"/>
        <v>2352</v>
      </c>
      <c r="K112" s="8">
        <f t="shared" si="6"/>
        <v>3</v>
      </c>
      <c r="L112" s="9">
        <f t="shared" si="7"/>
        <v>2021</v>
      </c>
    </row>
    <row r="113" spans="1:12" ht="14.4">
      <c r="A113" s="4" t="s">
        <v>205</v>
      </c>
      <c r="B113" s="4" t="s">
        <v>23</v>
      </c>
      <c r="C113" s="4" t="s">
        <v>16</v>
      </c>
      <c r="D113" s="4">
        <v>36</v>
      </c>
      <c r="E113" s="5">
        <v>44433</v>
      </c>
      <c r="F113" s="6">
        <v>78540</v>
      </c>
      <c r="G113" s="4" t="s">
        <v>21</v>
      </c>
      <c r="H113" s="4" t="s">
        <v>119</v>
      </c>
      <c r="I113" s="10">
        <f t="shared" ca="1" si="4"/>
        <v>4.1506849315068495</v>
      </c>
      <c r="J113" s="11">
        <f t="shared" ca="1" si="5"/>
        <v>2357</v>
      </c>
      <c r="K113" s="8">
        <f t="shared" si="6"/>
        <v>3</v>
      </c>
      <c r="L113" s="9">
        <f t="shared" si="7"/>
        <v>2021</v>
      </c>
    </row>
    <row r="114" spans="1:12" ht="14.4">
      <c r="A114" s="4" t="s">
        <v>59</v>
      </c>
      <c r="B114" s="4" t="s">
        <v>23</v>
      </c>
      <c r="C114" s="4" t="s">
        <v>16</v>
      </c>
      <c r="D114" s="4">
        <v>36</v>
      </c>
      <c r="E114" s="5">
        <v>44494</v>
      </c>
      <c r="F114" s="6">
        <v>78540</v>
      </c>
      <c r="G114" s="4" t="s">
        <v>21</v>
      </c>
      <c r="H114" s="4" t="s">
        <v>18</v>
      </c>
      <c r="I114" s="10">
        <f t="shared" ca="1" si="4"/>
        <v>3.9835616438356163</v>
      </c>
      <c r="J114" s="11">
        <f t="shared" ca="1" si="5"/>
        <v>2357</v>
      </c>
      <c r="K114" s="8">
        <f t="shared" si="6"/>
        <v>3</v>
      </c>
      <c r="L114" s="9">
        <f t="shared" si="7"/>
        <v>2021</v>
      </c>
    </row>
    <row r="115" spans="1:12" ht="14.4">
      <c r="A115" s="4" t="s">
        <v>137</v>
      </c>
      <c r="B115" s="4" t="s">
        <v>15</v>
      </c>
      <c r="C115" s="4" t="s">
        <v>20</v>
      </c>
      <c r="D115" s="4">
        <v>20</v>
      </c>
      <c r="E115" s="5">
        <v>44683</v>
      </c>
      <c r="F115" s="6">
        <v>79570</v>
      </c>
      <c r="G115" s="4" t="s">
        <v>21</v>
      </c>
      <c r="H115" s="4" t="s">
        <v>119</v>
      </c>
      <c r="I115" s="10">
        <f t="shared" ca="1" si="4"/>
        <v>3.4657534246575343</v>
      </c>
      <c r="J115" s="11">
        <f t="shared" ca="1" si="5"/>
        <v>2388</v>
      </c>
      <c r="K115" s="8">
        <f t="shared" si="6"/>
        <v>3</v>
      </c>
      <c r="L115" s="9">
        <f t="shared" si="7"/>
        <v>2022</v>
      </c>
    </row>
    <row r="116" spans="1:12" ht="14.4">
      <c r="A116" s="4" t="s">
        <v>72</v>
      </c>
      <c r="B116" s="4" t="s">
        <v>15</v>
      </c>
      <c r="C116" s="4" t="s">
        <v>20</v>
      </c>
      <c r="D116" s="4">
        <v>20</v>
      </c>
      <c r="E116" s="5">
        <v>44744</v>
      </c>
      <c r="F116" s="6">
        <v>79570</v>
      </c>
      <c r="G116" s="4" t="s">
        <v>21</v>
      </c>
      <c r="H116" s="4" t="s">
        <v>18</v>
      </c>
      <c r="I116" s="10">
        <f t="shared" ca="1" si="4"/>
        <v>3.2986301369863016</v>
      </c>
      <c r="J116" s="11">
        <f t="shared" ca="1" si="5"/>
        <v>2388</v>
      </c>
      <c r="K116" s="8">
        <f t="shared" si="6"/>
        <v>3</v>
      </c>
      <c r="L116" s="9">
        <f t="shared" si="7"/>
        <v>2022</v>
      </c>
    </row>
    <row r="117" spans="1:12" ht="14.4">
      <c r="A117" s="4" t="s">
        <v>152</v>
      </c>
      <c r="B117" s="4" t="s">
        <v>23</v>
      </c>
      <c r="C117" s="4" t="s">
        <v>31</v>
      </c>
      <c r="D117" s="4">
        <v>25</v>
      </c>
      <c r="E117" s="5">
        <v>44633</v>
      </c>
      <c r="F117" s="6">
        <v>80700</v>
      </c>
      <c r="G117" s="4" t="s">
        <v>17</v>
      </c>
      <c r="H117" s="4" t="s">
        <v>119</v>
      </c>
      <c r="I117" s="10">
        <f t="shared" ca="1" si="4"/>
        <v>3.6027397260273974</v>
      </c>
      <c r="J117" s="11">
        <f t="shared" ca="1" si="5"/>
        <v>2421</v>
      </c>
      <c r="K117" s="8">
        <f t="shared" si="6"/>
        <v>4</v>
      </c>
      <c r="L117" s="9">
        <f t="shared" si="7"/>
        <v>2022</v>
      </c>
    </row>
    <row r="118" spans="1:12" ht="14.4">
      <c r="A118" s="4" t="s">
        <v>74</v>
      </c>
      <c r="B118" s="4" t="s">
        <v>23</v>
      </c>
      <c r="C118" s="4" t="s">
        <v>31</v>
      </c>
      <c r="D118" s="4">
        <v>25</v>
      </c>
      <c r="E118" s="5">
        <v>44694</v>
      </c>
      <c r="F118" s="6">
        <v>80700</v>
      </c>
      <c r="G118" s="4" t="s">
        <v>17</v>
      </c>
      <c r="H118" s="4" t="s">
        <v>18</v>
      </c>
      <c r="I118" s="10">
        <f t="shared" ca="1" si="4"/>
        <v>3.4356164383561643</v>
      </c>
      <c r="J118" s="11">
        <f t="shared" ca="1" si="5"/>
        <v>2421</v>
      </c>
      <c r="K118" s="8">
        <f t="shared" si="6"/>
        <v>4</v>
      </c>
      <c r="L118" s="9">
        <f t="shared" si="7"/>
        <v>2022</v>
      </c>
    </row>
    <row r="119" spans="1:12" ht="14.4">
      <c r="A119" s="4" t="s">
        <v>177</v>
      </c>
      <c r="B119" s="4" t="s">
        <v>23</v>
      </c>
      <c r="C119" s="4" t="s">
        <v>31</v>
      </c>
      <c r="D119" s="4">
        <v>27</v>
      </c>
      <c r="E119" s="5">
        <v>44625</v>
      </c>
      <c r="F119" s="6">
        <v>83750</v>
      </c>
      <c r="G119" s="4" t="s">
        <v>21</v>
      </c>
      <c r="H119" s="4" t="s">
        <v>119</v>
      </c>
      <c r="I119" s="10">
        <f t="shared" ca="1" si="4"/>
        <v>3.6246575342465754</v>
      </c>
      <c r="J119" s="11">
        <f t="shared" ca="1" si="5"/>
        <v>2513</v>
      </c>
      <c r="K119" s="8">
        <f t="shared" si="6"/>
        <v>3</v>
      </c>
      <c r="L119" s="9">
        <f t="shared" si="7"/>
        <v>2022</v>
      </c>
    </row>
    <row r="120" spans="1:12" ht="14.4">
      <c r="A120" s="4" t="s">
        <v>69</v>
      </c>
      <c r="B120" s="4" t="s">
        <v>23</v>
      </c>
      <c r="C120" s="4" t="s">
        <v>31</v>
      </c>
      <c r="D120" s="4">
        <v>27</v>
      </c>
      <c r="E120" s="5">
        <v>44686</v>
      </c>
      <c r="F120" s="6">
        <v>83750</v>
      </c>
      <c r="G120" s="4" t="s">
        <v>21</v>
      </c>
      <c r="H120" s="4" t="s">
        <v>18</v>
      </c>
      <c r="I120" s="10">
        <f t="shared" ca="1" si="4"/>
        <v>3.4575342465753423</v>
      </c>
      <c r="J120" s="11">
        <f t="shared" ca="1" si="5"/>
        <v>2513</v>
      </c>
      <c r="K120" s="8">
        <f t="shared" si="6"/>
        <v>3</v>
      </c>
      <c r="L120" s="9">
        <f t="shared" si="7"/>
        <v>2022</v>
      </c>
    </row>
    <row r="121" spans="1:12" ht="14.4">
      <c r="A121" s="4" t="s">
        <v>161</v>
      </c>
      <c r="B121" s="4" t="s">
        <v>23</v>
      </c>
      <c r="C121" s="4" t="s">
        <v>25</v>
      </c>
      <c r="D121" s="4">
        <v>34</v>
      </c>
      <c r="E121" s="5">
        <v>44397</v>
      </c>
      <c r="F121" s="6">
        <v>85000</v>
      </c>
      <c r="G121" s="4" t="s">
        <v>21</v>
      </c>
      <c r="H121" s="4" t="s">
        <v>119</v>
      </c>
      <c r="I121" s="10">
        <f t="shared" ca="1" si="4"/>
        <v>4.2493150684931509</v>
      </c>
      <c r="J121" s="11">
        <f t="shared" ca="1" si="5"/>
        <v>2550</v>
      </c>
      <c r="K121" s="8">
        <f t="shared" si="6"/>
        <v>3</v>
      </c>
      <c r="L121" s="9">
        <f t="shared" si="7"/>
        <v>2021</v>
      </c>
    </row>
    <row r="122" spans="1:12" ht="14.4">
      <c r="A122" s="4" t="s">
        <v>108</v>
      </c>
      <c r="B122" s="4" t="s">
        <v>23</v>
      </c>
      <c r="C122" s="4" t="s">
        <v>25</v>
      </c>
      <c r="D122" s="4">
        <v>34</v>
      </c>
      <c r="E122" s="5">
        <v>44459</v>
      </c>
      <c r="F122" s="6">
        <v>85000</v>
      </c>
      <c r="G122" s="4" t="s">
        <v>21</v>
      </c>
      <c r="H122" s="4" t="s">
        <v>18</v>
      </c>
      <c r="I122" s="10">
        <f t="shared" ca="1" si="4"/>
        <v>4.0794520547945208</v>
      </c>
      <c r="J122" s="11">
        <f t="shared" ca="1" si="5"/>
        <v>2550</v>
      </c>
      <c r="K122" s="8">
        <f t="shared" si="6"/>
        <v>3</v>
      </c>
      <c r="L122" s="9">
        <f t="shared" si="7"/>
        <v>2021</v>
      </c>
    </row>
    <row r="123" spans="1:12" ht="14.4">
      <c r="A123" s="4" t="s">
        <v>187</v>
      </c>
      <c r="B123" s="4" t="s">
        <v>23</v>
      </c>
      <c r="C123" s="4" t="s">
        <v>25</v>
      </c>
      <c r="D123" s="4">
        <v>33</v>
      </c>
      <c r="E123" s="5">
        <v>44747</v>
      </c>
      <c r="F123" s="6">
        <v>86570</v>
      </c>
      <c r="G123" s="4" t="s">
        <v>21</v>
      </c>
      <c r="H123" s="4" t="s">
        <v>119</v>
      </c>
      <c r="I123" s="10">
        <f t="shared" ca="1" si="4"/>
        <v>3.2904109589041095</v>
      </c>
      <c r="J123" s="11">
        <f t="shared" ca="1" si="5"/>
        <v>2598</v>
      </c>
      <c r="K123" s="8">
        <f t="shared" si="6"/>
        <v>3</v>
      </c>
      <c r="L123" s="9">
        <f t="shared" si="7"/>
        <v>2022</v>
      </c>
    </row>
    <row r="124" spans="1:12" ht="14.4">
      <c r="A124" s="4" t="s">
        <v>68</v>
      </c>
      <c r="B124" s="4" t="s">
        <v>23</v>
      </c>
      <c r="C124" s="4" t="s">
        <v>25</v>
      </c>
      <c r="D124" s="4">
        <v>33</v>
      </c>
      <c r="E124" s="5">
        <v>44809</v>
      </c>
      <c r="F124" s="6">
        <v>86570</v>
      </c>
      <c r="G124" s="4" t="s">
        <v>21</v>
      </c>
      <c r="H124" s="4" t="s">
        <v>18</v>
      </c>
      <c r="I124" s="10">
        <f t="shared" ca="1" si="4"/>
        <v>3.1205479452054794</v>
      </c>
      <c r="J124" s="11">
        <f t="shared" ca="1" si="5"/>
        <v>2598</v>
      </c>
      <c r="K124" s="8">
        <f t="shared" si="6"/>
        <v>3</v>
      </c>
      <c r="L124" s="9">
        <f t="shared" si="7"/>
        <v>2022</v>
      </c>
    </row>
    <row r="125" spans="1:12" ht="14.4">
      <c r="A125" s="4" t="s">
        <v>178</v>
      </c>
      <c r="B125" s="4" t="s">
        <v>23</v>
      </c>
      <c r="C125" s="4" t="s">
        <v>31</v>
      </c>
      <c r="D125" s="4">
        <v>40</v>
      </c>
      <c r="E125" s="5">
        <v>44276</v>
      </c>
      <c r="F125" s="6">
        <v>87620</v>
      </c>
      <c r="G125" s="4" t="s">
        <v>21</v>
      </c>
      <c r="H125" s="4" t="s">
        <v>119</v>
      </c>
      <c r="I125" s="10">
        <f t="shared" ca="1" si="4"/>
        <v>4.580821917808219</v>
      </c>
      <c r="J125" s="11">
        <f t="shared" ca="1" si="5"/>
        <v>2629</v>
      </c>
      <c r="K125" s="8">
        <f t="shared" si="6"/>
        <v>3</v>
      </c>
      <c r="L125" s="9">
        <f t="shared" si="7"/>
        <v>2021</v>
      </c>
    </row>
    <row r="126" spans="1:12" ht="14.4">
      <c r="A126" s="4" t="s">
        <v>52</v>
      </c>
      <c r="B126" s="4" t="s">
        <v>23</v>
      </c>
      <c r="C126" s="4" t="s">
        <v>31</v>
      </c>
      <c r="D126" s="4">
        <v>40</v>
      </c>
      <c r="E126" s="5">
        <v>44337</v>
      </c>
      <c r="F126" s="6">
        <v>87620</v>
      </c>
      <c r="G126" s="4" t="s">
        <v>21</v>
      </c>
      <c r="H126" s="4" t="s">
        <v>18</v>
      </c>
      <c r="I126" s="10">
        <f t="shared" ca="1" si="4"/>
        <v>4.4136986301369863</v>
      </c>
      <c r="J126" s="11">
        <f t="shared" ca="1" si="5"/>
        <v>2629</v>
      </c>
      <c r="K126" s="8">
        <f t="shared" si="6"/>
        <v>3</v>
      </c>
      <c r="L126" s="9">
        <f t="shared" si="7"/>
        <v>2021</v>
      </c>
    </row>
    <row r="127" spans="1:12" ht="14.4">
      <c r="A127" s="4" t="s">
        <v>140</v>
      </c>
      <c r="B127" s="4" t="s">
        <v>15</v>
      </c>
      <c r="C127" s="4" t="s">
        <v>31</v>
      </c>
      <c r="D127" s="4">
        <v>37</v>
      </c>
      <c r="E127" s="5">
        <v>44277</v>
      </c>
      <c r="F127" s="6">
        <v>88050</v>
      </c>
      <c r="G127" s="4" t="s">
        <v>26</v>
      </c>
      <c r="H127" s="4" t="s">
        <v>119</v>
      </c>
      <c r="I127" s="10">
        <f t="shared" ca="1" si="4"/>
        <v>4.5780821917808217</v>
      </c>
      <c r="J127" s="11">
        <f t="shared" ca="1" si="5"/>
        <v>2642</v>
      </c>
      <c r="K127" s="8">
        <f t="shared" si="6"/>
        <v>2</v>
      </c>
      <c r="L127" s="9">
        <f t="shared" si="7"/>
        <v>2021</v>
      </c>
    </row>
    <row r="128" spans="1:12" ht="14.4">
      <c r="A128" s="4" t="s">
        <v>98</v>
      </c>
      <c r="B128" s="4" t="s">
        <v>15</v>
      </c>
      <c r="C128" s="4" t="s">
        <v>31</v>
      </c>
      <c r="D128" s="4">
        <v>37</v>
      </c>
      <c r="E128" s="5">
        <v>44338</v>
      </c>
      <c r="F128" s="6">
        <v>88050</v>
      </c>
      <c r="G128" s="4" t="s">
        <v>26</v>
      </c>
      <c r="H128" s="4" t="s">
        <v>18</v>
      </c>
      <c r="I128" s="10">
        <f t="shared" ca="1" si="4"/>
        <v>4.4109589041095889</v>
      </c>
      <c r="J128" s="11">
        <f t="shared" ca="1" si="5"/>
        <v>2642</v>
      </c>
      <c r="K128" s="8">
        <f t="shared" si="6"/>
        <v>2</v>
      </c>
      <c r="L128" s="9">
        <f t="shared" si="7"/>
        <v>2021</v>
      </c>
    </row>
    <row r="129" spans="1:12" ht="14.4">
      <c r="A129" s="4" t="s">
        <v>170</v>
      </c>
      <c r="B129" s="4" t="s">
        <v>215</v>
      </c>
      <c r="C129" s="4" t="s">
        <v>31</v>
      </c>
      <c r="D129" s="4">
        <v>27</v>
      </c>
      <c r="E129" s="5">
        <v>44212</v>
      </c>
      <c r="F129" s="6">
        <v>90700</v>
      </c>
      <c r="G129" s="4" t="s">
        <v>17</v>
      </c>
      <c r="H129" s="4" t="s">
        <v>119</v>
      </c>
      <c r="I129" s="10">
        <f t="shared" ca="1" si="4"/>
        <v>4.7561643835616438</v>
      </c>
      <c r="J129" s="11">
        <f t="shared" ca="1" si="5"/>
        <v>2721</v>
      </c>
      <c r="K129" s="8">
        <f t="shared" si="6"/>
        <v>4</v>
      </c>
      <c r="L129" s="9">
        <f t="shared" si="7"/>
        <v>2021</v>
      </c>
    </row>
    <row r="130" spans="1:12" ht="14.4">
      <c r="A130" s="4" t="s">
        <v>91</v>
      </c>
      <c r="B130" s="4" t="s">
        <v>215</v>
      </c>
      <c r="C130" s="4" t="s">
        <v>31</v>
      </c>
      <c r="D130" s="4">
        <v>26</v>
      </c>
      <c r="E130" s="5">
        <v>44271</v>
      </c>
      <c r="F130" s="6">
        <v>90700</v>
      </c>
      <c r="G130" s="4" t="s">
        <v>17</v>
      </c>
      <c r="H130" s="4" t="s">
        <v>18</v>
      </c>
      <c r="I130" s="10">
        <f t="shared" ca="1" si="4"/>
        <v>4.5945205479452058</v>
      </c>
      <c r="J130" s="11">
        <f t="shared" ca="1" si="5"/>
        <v>2721</v>
      </c>
      <c r="K130" s="8">
        <f t="shared" si="6"/>
        <v>4</v>
      </c>
      <c r="L130" s="9">
        <f t="shared" si="7"/>
        <v>2021</v>
      </c>
    </row>
    <row r="131" spans="1:12" ht="14.4">
      <c r="A131" s="4" t="s">
        <v>126</v>
      </c>
      <c r="B131" s="4" t="s">
        <v>215</v>
      </c>
      <c r="C131" s="4" t="s">
        <v>31</v>
      </c>
      <c r="D131" s="4">
        <v>32</v>
      </c>
      <c r="E131" s="5">
        <v>44713</v>
      </c>
      <c r="F131" s="6">
        <v>91310</v>
      </c>
      <c r="G131" s="4" t="s">
        <v>21</v>
      </c>
      <c r="H131" s="4" t="s">
        <v>119</v>
      </c>
      <c r="I131" s="10">
        <f t="shared" ca="1" si="4"/>
        <v>3.3835616438356166</v>
      </c>
      <c r="J131" s="11">
        <f t="shared" ca="1" si="5"/>
        <v>2740</v>
      </c>
      <c r="K131" s="8">
        <f t="shared" si="6"/>
        <v>3</v>
      </c>
      <c r="L131" s="9">
        <f t="shared" si="7"/>
        <v>2022</v>
      </c>
    </row>
    <row r="132" spans="1:12" ht="14.4">
      <c r="A132" s="4" t="s">
        <v>88</v>
      </c>
      <c r="B132" s="4" t="s">
        <v>215</v>
      </c>
      <c r="C132" s="4" t="s">
        <v>31</v>
      </c>
      <c r="D132" s="4">
        <v>32</v>
      </c>
      <c r="E132" s="5">
        <v>44774</v>
      </c>
      <c r="F132" s="6">
        <v>91310</v>
      </c>
      <c r="G132" s="4" t="s">
        <v>21</v>
      </c>
      <c r="H132" s="4" t="s">
        <v>18</v>
      </c>
      <c r="I132" s="10">
        <f t="shared" ca="1" si="4"/>
        <v>3.2164383561643834</v>
      </c>
      <c r="J132" s="11">
        <f t="shared" ca="1" si="5"/>
        <v>2740</v>
      </c>
      <c r="K132" s="8">
        <f t="shared" si="6"/>
        <v>3</v>
      </c>
      <c r="L132" s="9">
        <f t="shared" si="7"/>
        <v>2022</v>
      </c>
    </row>
    <row r="133" spans="1:12" ht="14.4">
      <c r="A133" s="4" t="s">
        <v>167</v>
      </c>
      <c r="B133" s="4" t="s">
        <v>15</v>
      </c>
      <c r="C133" s="4" t="s">
        <v>25</v>
      </c>
      <c r="D133" s="4">
        <v>27</v>
      </c>
      <c r="E133" s="5">
        <v>44174</v>
      </c>
      <c r="F133" s="6">
        <v>91650</v>
      </c>
      <c r="G133" s="4" t="s">
        <v>17</v>
      </c>
      <c r="H133" s="4" t="s">
        <v>119</v>
      </c>
      <c r="I133" s="10">
        <f t="shared" ca="1" si="4"/>
        <v>4.86027397260274</v>
      </c>
      <c r="J133" s="11">
        <f t="shared" ca="1" si="5"/>
        <v>2750</v>
      </c>
      <c r="K133" s="8">
        <f t="shared" si="6"/>
        <v>4</v>
      </c>
      <c r="L133" s="9">
        <f t="shared" si="7"/>
        <v>2020</v>
      </c>
    </row>
    <row r="134" spans="1:12" ht="14.4">
      <c r="A134" s="4" t="s">
        <v>104</v>
      </c>
      <c r="B134" s="4" t="s">
        <v>15</v>
      </c>
      <c r="C134" s="4" t="s">
        <v>25</v>
      </c>
      <c r="D134" s="4">
        <v>27</v>
      </c>
      <c r="E134" s="5">
        <v>44236</v>
      </c>
      <c r="F134" s="6">
        <v>91650</v>
      </c>
      <c r="G134" s="4" t="s">
        <v>17</v>
      </c>
      <c r="H134" s="4" t="s">
        <v>18</v>
      </c>
      <c r="I134" s="10">
        <f t="shared" ca="1" si="4"/>
        <v>4.6904109589041099</v>
      </c>
      <c r="J134" s="11">
        <f t="shared" ca="1" si="5"/>
        <v>2750</v>
      </c>
      <c r="K134" s="8">
        <f t="shared" si="6"/>
        <v>4</v>
      </c>
      <c r="L134" s="9">
        <f t="shared" si="7"/>
        <v>2021</v>
      </c>
    </row>
    <row r="135" spans="1:12" ht="14.4">
      <c r="A135" s="4" t="s">
        <v>175</v>
      </c>
      <c r="B135" s="4" t="s">
        <v>23</v>
      </c>
      <c r="C135" s="4" t="s">
        <v>25</v>
      </c>
      <c r="D135" s="4">
        <v>34</v>
      </c>
      <c r="E135" s="5">
        <v>44383</v>
      </c>
      <c r="F135" s="6">
        <v>92450</v>
      </c>
      <c r="G135" s="4" t="s">
        <v>21</v>
      </c>
      <c r="H135" s="4" t="s">
        <v>119</v>
      </c>
      <c r="I135" s="10">
        <f t="shared" ca="1" si="4"/>
        <v>4.2876712328767121</v>
      </c>
      <c r="J135" s="11">
        <f t="shared" ca="1" si="5"/>
        <v>2774</v>
      </c>
      <c r="K135" s="8">
        <f t="shared" si="6"/>
        <v>3</v>
      </c>
      <c r="L135" s="9">
        <f t="shared" si="7"/>
        <v>2021</v>
      </c>
    </row>
    <row r="136" spans="1:12" ht="14.4">
      <c r="A136" s="4" t="s">
        <v>70</v>
      </c>
      <c r="B136" s="4" t="s">
        <v>23</v>
      </c>
      <c r="C136" s="4" t="s">
        <v>25</v>
      </c>
      <c r="D136" s="4">
        <v>34</v>
      </c>
      <c r="E136" s="5">
        <v>44445</v>
      </c>
      <c r="F136" s="6">
        <v>92450</v>
      </c>
      <c r="G136" s="4" t="s">
        <v>21</v>
      </c>
      <c r="H136" s="4" t="s">
        <v>18</v>
      </c>
      <c r="I136" s="10">
        <f t="shared" ca="1" si="4"/>
        <v>4.117808219178082</v>
      </c>
      <c r="J136" s="11">
        <f t="shared" ca="1" si="5"/>
        <v>2774</v>
      </c>
      <c r="K136" s="8">
        <f t="shared" si="6"/>
        <v>3</v>
      </c>
      <c r="L136" s="9">
        <f t="shared" si="7"/>
        <v>2021</v>
      </c>
    </row>
    <row r="137" spans="1:12" ht="14.4">
      <c r="A137" s="4" t="s">
        <v>125</v>
      </c>
      <c r="B137" s="4" t="s">
        <v>23</v>
      </c>
      <c r="C137" s="4" t="s">
        <v>16</v>
      </c>
      <c r="D137" s="4">
        <v>25</v>
      </c>
      <c r="E137" s="5">
        <v>44144</v>
      </c>
      <c r="F137" s="6">
        <v>92700</v>
      </c>
      <c r="G137" s="4" t="s">
        <v>21</v>
      </c>
      <c r="H137" s="4" t="s">
        <v>119</v>
      </c>
      <c r="I137" s="10">
        <f t="shared" ref="I137:I191" ca="1" si="8">(TODAY()-E137)/365</f>
        <v>4.9424657534246572</v>
      </c>
      <c r="J137" s="11">
        <f t="shared" ref="J137:J191" ca="1" si="9">ROUNDUP(IF(I137&gt;3,3%,2%)*F137,0)</f>
        <v>2781</v>
      </c>
      <c r="K137" s="8">
        <f t="shared" si="6"/>
        <v>3</v>
      </c>
      <c r="L137" s="9">
        <f t="shared" si="7"/>
        <v>2020</v>
      </c>
    </row>
    <row r="138" spans="1:12" ht="14.4">
      <c r="A138" s="4" t="s">
        <v>93</v>
      </c>
      <c r="B138" s="4" t="s">
        <v>23</v>
      </c>
      <c r="C138" s="4" t="s">
        <v>16</v>
      </c>
      <c r="D138" s="4">
        <v>25</v>
      </c>
      <c r="E138" s="5">
        <v>44205</v>
      </c>
      <c r="F138" s="6">
        <v>92700</v>
      </c>
      <c r="G138" s="4" t="s">
        <v>21</v>
      </c>
      <c r="H138" s="4" t="s">
        <v>18</v>
      </c>
      <c r="I138" s="10">
        <f t="shared" ca="1" si="8"/>
        <v>4.7753424657534245</v>
      </c>
      <c r="J138" s="11">
        <f t="shared" ca="1" si="9"/>
        <v>2781</v>
      </c>
      <c r="K138" s="8">
        <f t="shared" ref="K138:K191" si="10">_xlfn.XLOOKUP(G138,$R$36:$R$40,$T$36:$T$40)</f>
        <v>3</v>
      </c>
      <c r="L138" s="9">
        <f t="shared" ref="L138:L191" si="11">YEAR(E138)</f>
        <v>2021</v>
      </c>
    </row>
    <row r="139" spans="1:12" ht="14.4">
      <c r="A139" s="4" t="s">
        <v>210</v>
      </c>
      <c r="B139" s="4" t="s">
        <v>23</v>
      </c>
      <c r="C139" s="4" t="s">
        <v>31</v>
      </c>
      <c r="D139" s="4">
        <v>33</v>
      </c>
      <c r="E139" s="5">
        <v>44129</v>
      </c>
      <c r="F139" s="6">
        <v>96140</v>
      </c>
      <c r="G139" s="4" t="s">
        <v>21</v>
      </c>
      <c r="H139" s="4" t="s">
        <v>119</v>
      </c>
      <c r="I139" s="10">
        <f t="shared" ca="1" si="8"/>
        <v>4.9835616438356167</v>
      </c>
      <c r="J139" s="11">
        <f t="shared" ca="1" si="9"/>
        <v>2885</v>
      </c>
      <c r="K139" s="8">
        <f t="shared" si="10"/>
        <v>3</v>
      </c>
      <c r="L139" s="9">
        <f t="shared" si="11"/>
        <v>2020</v>
      </c>
    </row>
    <row r="140" spans="1:12" ht="14.4">
      <c r="A140" s="4" t="s">
        <v>63</v>
      </c>
      <c r="B140" s="4" t="s">
        <v>23</v>
      </c>
      <c r="C140" s="4" t="s">
        <v>31</v>
      </c>
      <c r="D140" s="4">
        <v>33</v>
      </c>
      <c r="E140" s="5">
        <v>44190</v>
      </c>
      <c r="F140" s="6">
        <v>96140</v>
      </c>
      <c r="G140" s="4" t="s">
        <v>21</v>
      </c>
      <c r="H140" s="4" t="s">
        <v>18</v>
      </c>
      <c r="I140" s="10">
        <f t="shared" ca="1" si="8"/>
        <v>4.816438356164384</v>
      </c>
      <c r="J140" s="11">
        <f t="shared" ca="1" si="9"/>
        <v>2885</v>
      </c>
      <c r="K140" s="8">
        <f t="shared" si="10"/>
        <v>3</v>
      </c>
      <c r="L140" s="9">
        <f t="shared" si="11"/>
        <v>2020</v>
      </c>
    </row>
    <row r="141" spans="1:12" ht="14.4">
      <c r="A141" s="4" t="s">
        <v>130</v>
      </c>
      <c r="B141" s="4" t="s">
        <v>15</v>
      </c>
      <c r="C141" s="4" t="s">
        <v>25</v>
      </c>
      <c r="D141" s="4">
        <v>30</v>
      </c>
      <c r="E141" s="5">
        <v>44544</v>
      </c>
      <c r="F141" s="6">
        <v>96800</v>
      </c>
      <c r="G141" s="4" t="s">
        <v>21</v>
      </c>
      <c r="H141" s="4" t="s">
        <v>119</v>
      </c>
      <c r="I141" s="10">
        <f t="shared" ca="1" si="8"/>
        <v>3.8465753424657536</v>
      </c>
      <c r="J141" s="11">
        <f t="shared" ca="1" si="9"/>
        <v>2904</v>
      </c>
      <c r="K141" s="8">
        <f t="shared" si="10"/>
        <v>3</v>
      </c>
      <c r="L141" s="9">
        <f t="shared" si="11"/>
        <v>2021</v>
      </c>
    </row>
    <row r="142" spans="1:12" ht="14.4">
      <c r="A142" s="4" t="s">
        <v>107</v>
      </c>
      <c r="B142" s="4" t="s">
        <v>15</v>
      </c>
      <c r="C142" s="4" t="s">
        <v>25</v>
      </c>
      <c r="D142" s="4">
        <v>30</v>
      </c>
      <c r="E142" s="5">
        <v>44606</v>
      </c>
      <c r="F142" s="6">
        <v>96800</v>
      </c>
      <c r="G142" s="4" t="s">
        <v>21</v>
      </c>
      <c r="H142" s="4" t="s">
        <v>18</v>
      </c>
      <c r="I142" s="10">
        <f t="shared" ca="1" si="8"/>
        <v>3.6767123287671235</v>
      </c>
      <c r="J142" s="11">
        <f t="shared" ca="1" si="9"/>
        <v>2904</v>
      </c>
      <c r="K142" s="8">
        <f t="shared" si="10"/>
        <v>3</v>
      </c>
      <c r="L142" s="9">
        <f t="shared" si="11"/>
        <v>2022</v>
      </c>
    </row>
    <row r="143" spans="1:12" ht="14.4">
      <c r="A143" s="4" t="s">
        <v>183</v>
      </c>
      <c r="B143" s="4" t="s">
        <v>15</v>
      </c>
      <c r="C143" s="4" t="s">
        <v>20</v>
      </c>
      <c r="D143" s="4">
        <v>40</v>
      </c>
      <c r="E143" s="5">
        <v>44204</v>
      </c>
      <c r="F143" s="6">
        <v>99750</v>
      </c>
      <c r="G143" s="4" t="s">
        <v>21</v>
      </c>
      <c r="H143" s="4" t="s">
        <v>119</v>
      </c>
      <c r="I143" s="10">
        <f t="shared" ca="1" si="8"/>
        <v>4.7780821917808218</v>
      </c>
      <c r="J143" s="11">
        <f t="shared" ca="1" si="9"/>
        <v>2993</v>
      </c>
      <c r="K143" s="8">
        <f t="shared" si="10"/>
        <v>3</v>
      </c>
      <c r="L143" s="9">
        <f t="shared" si="11"/>
        <v>2021</v>
      </c>
    </row>
    <row r="144" spans="1:12" ht="14.4">
      <c r="A144" s="4" t="s">
        <v>40</v>
      </c>
      <c r="B144" s="4" t="s">
        <v>15</v>
      </c>
      <c r="C144" s="4" t="s">
        <v>20</v>
      </c>
      <c r="D144" s="4">
        <v>40</v>
      </c>
      <c r="E144" s="5">
        <v>44263</v>
      </c>
      <c r="F144" s="6">
        <v>99750</v>
      </c>
      <c r="G144" s="4" t="s">
        <v>21</v>
      </c>
      <c r="H144" s="4" t="s">
        <v>18</v>
      </c>
      <c r="I144" s="10">
        <f t="shared" ca="1" si="8"/>
        <v>4.6164383561643838</v>
      </c>
      <c r="J144" s="11">
        <f t="shared" ca="1" si="9"/>
        <v>2993</v>
      </c>
      <c r="K144" s="8">
        <f t="shared" si="10"/>
        <v>3</v>
      </c>
      <c r="L144" s="9">
        <f t="shared" si="11"/>
        <v>2021</v>
      </c>
    </row>
    <row r="145" spans="1:12" ht="14.4">
      <c r="A145" s="4" t="s">
        <v>151</v>
      </c>
      <c r="B145" s="4" t="s">
        <v>23</v>
      </c>
      <c r="C145" s="4" t="s">
        <v>20</v>
      </c>
      <c r="D145" s="4">
        <v>28</v>
      </c>
      <c r="E145" s="5">
        <v>44571</v>
      </c>
      <c r="F145" s="6">
        <v>99970</v>
      </c>
      <c r="G145" s="4" t="s">
        <v>21</v>
      </c>
      <c r="H145" s="4" t="s">
        <v>119</v>
      </c>
      <c r="I145" s="10">
        <f t="shared" ca="1" si="8"/>
        <v>3.7726027397260276</v>
      </c>
      <c r="J145" s="11">
        <f t="shared" ca="1" si="9"/>
        <v>3000</v>
      </c>
      <c r="K145" s="8">
        <f t="shared" si="10"/>
        <v>3</v>
      </c>
      <c r="L145" s="9">
        <f t="shared" si="11"/>
        <v>2022</v>
      </c>
    </row>
    <row r="146" spans="1:12" ht="14.4">
      <c r="A146" s="4" t="s">
        <v>62</v>
      </c>
      <c r="B146" s="4" t="s">
        <v>23</v>
      </c>
      <c r="C146" s="4" t="s">
        <v>20</v>
      </c>
      <c r="D146" s="4">
        <v>28</v>
      </c>
      <c r="E146" s="5">
        <v>44630</v>
      </c>
      <c r="F146" s="6">
        <v>99970</v>
      </c>
      <c r="G146" s="4" t="s">
        <v>21</v>
      </c>
      <c r="H146" s="4" t="s">
        <v>18</v>
      </c>
      <c r="I146" s="10">
        <f t="shared" ca="1" si="8"/>
        <v>3.6109589041095891</v>
      </c>
      <c r="J146" s="11">
        <f t="shared" ca="1" si="9"/>
        <v>3000</v>
      </c>
      <c r="K146" s="8">
        <f t="shared" si="10"/>
        <v>3</v>
      </c>
      <c r="L146" s="9">
        <f t="shared" si="11"/>
        <v>2022</v>
      </c>
    </row>
    <row r="147" spans="1:12" ht="14.4">
      <c r="A147" s="4" t="s">
        <v>144</v>
      </c>
      <c r="B147" s="4" t="s">
        <v>15</v>
      </c>
      <c r="C147" s="4" t="s">
        <v>31</v>
      </c>
      <c r="D147" s="4">
        <v>24</v>
      </c>
      <c r="E147" s="5">
        <v>44625</v>
      </c>
      <c r="F147" s="6">
        <v>100420</v>
      </c>
      <c r="G147" s="4" t="s">
        <v>21</v>
      </c>
      <c r="H147" s="4" t="s">
        <v>119</v>
      </c>
      <c r="I147" s="10">
        <f t="shared" ca="1" si="8"/>
        <v>3.6246575342465754</v>
      </c>
      <c r="J147" s="11">
        <f t="shared" ca="1" si="9"/>
        <v>3013</v>
      </c>
      <c r="K147" s="8">
        <f t="shared" si="10"/>
        <v>3</v>
      </c>
      <c r="L147" s="9">
        <f t="shared" si="11"/>
        <v>2022</v>
      </c>
    </row>
    <row r="148" spans="1:12" ht="14.4">
      <c r="A148" s="4" t="s">
        <v>99</v>
      </c>
      <c r="B148" s="4" t="s">
        <v>15</v>
      </c>
      <c r="C148" s="4" t="s">
        <v>31</v>
      </c>
      <c r="D148" s="4">
        <v>24</v>
      </c>
      <c r="E148" s="5">
        <v>44686</v>
      </c>
      <c r="F148" s="6">
        <v>100420</v>
      </c>
      <c r="G148" s="4" t="s">
        <v>21</v>
      </c>
      <c r="H148" s="4" t="s">
        <v>18</v>
      </c>
      <c r="I148" s="10">
        <f t="shared" ca="1" si="8"/>
        <v>3.4575342465753423</v>
      </c>
      <c r="J148" s="11">
        <f t="shared" ca="1" si="9"/>
        <v>3013</v>
      </c>
      <c r="K148" s="8">
        <f t="shared" si="10"/>
        <v>3</v>
      </c>
      <c r="L148" s="9">
        <f t="shared" si="11"/>
        <v>2022</v>
      </c>
    </row>
    <row r="149" spans="1:12" ht="14.4">
      <c r="A149" s="4" t="s">
        <v>121</v>
      </c>
      <c r="B149" s="4" t="s">
        <v>15</v>
      </c>
      <c r="C149" s="4" t="s">
        <v>20</v>
      </c>
      <c r="D149" s="4">
        <v>31</v>
      </c>
      <c r="E149" s="5">
        <v>44663</v>
      </c>
      <c r="F149" s="6">
        <v>103550</v>
      </c>
      <c r="G149" s="4" t="s">
        <v>21</v>
      </c>
      <c r="H149" s="4" t="s">
        <v>119</v>
      </c>
      <c r="I149" s="10">
        <f t="shared" ca="1" si="8"/>
        <v>3.5205479452054793</v>
      </c>
      <c r="J149" s="11">
        <f t="shared" ca="1" si="9"/>
        <v>3107</v>
      </c>
      <c r="K149" s="8">
        <f t="shared" si="10"/>
        <v>3</v>
      </c>
      <c r="L149" s="9">
        <f t="shared" si="11"/>
        <v>2022</v>
      </c>
    </row>
    <row r="150" spans="1:12" ht="14.4">
      <c r="A150" s="4" t="s">
        <v>64</v>
      </c>
      <c r="B150" s="4" t="s">
        <v>15</v>
      </c>
      <c r="C150" s="4" t="s">
        <v>20</v>
      </c>
      <c r="D150" s="4">
        <v>31</v>
      </c>
      <c r="E150" s="5">
        <v>44724</v>
      </c>
      <c r="F150" s="6">
        <v>103550</v>
      </c>
      <c r="G150" s="4" t="s">
        <v>21</v>
      </c>
      <c r="H150" s="4" t="s">
        <v>18</v>
      </c>
      <c r="I150" s="10">
        <f t="shared" ca="1" si="8"/>
        <v>3.3534246575342466</v>
      </c>
      <c r="J150" s="11">
        <f t="shared" ca="1" si="9"/>
        <v>3107</v>
      </c>
      <c r="K150" s="8">
        <f t="shared" si="10"/>
        <v>3</v>
      </c>
      <c r="L150" s="9">
        <f t="shared" si="11"/>
        <v>2022</v>
      </c>
    </row>
    <row r="151" spans="1:12" ht="14.4">
      <c r="A151" s="4" t="s">
        <v>197</v>
      </c>
      <c r="B151" s="4" t="s">
        <v>23</v>
      </c>
      <c r="C151" s="4" t="s">
        <v>20</v>
      </c>
      <c r="D151" s="4">
        <v>28</v>
      </c>
      <c r="E151" s="5">
        <v>44590</v>
      </c>
      <c r="F151" s="6">
        <v>104120</v>
      </c>
      <c r="G151" s="4" t="s">
        <v>21</v>
      </c>
      <c r="H151" s="4" t="s">
        <v>119</v>
      </c>
      <c r="I151" s="10">
        <f t="shared" ca="1" si="8"/>
        <v>3.7205479452054795</v>
      </c>
      <c r="J151" s="11">
        <f t="shared" ca="1" si="9"/>
        <v>3124</v>
      </c>
      <c r="K151" s="8">
        <f t="shared" si="10"/>
        <v>3</v>
      </c>
      <c r="L151" s="9">
        <f t="shared" si="11"/>
        <v>2022</v>
      </c>
    </row>
    <row r="152" spans="1:12" ht="14.4">
      <c r="A152" s="4" t="s">
        <v>97</v>
      </c>
      <c r="B152" s="4" t="s">
        <v>23</v>
      </c>
      <c r="C152" s="4" t="s">
        <v>20</v>
      </c>
      <c r="D152" s="4">
        <v>28</v>
      </c>
      <c r="E152" s="5">
        <v>44649</v>
      </c>
      <c r="F152" s="6">
        <v>104120</v>
      </c>
      <c r="G152" s="4" t="s">
        <v>21</v>
      </c>
      <c r="H152" s="4" t="s">
        <v>18</v>
      </c>
      <c r="I152" s="10">
        <f t="shared" ca="1" si="8"/>
        <v>3.558904109589041</v>
      </c>
      <c r="J152" s="11">
        <f t="shared" ca="1" si="9"/>
        <v>3124</v>
      </c>
      <c r="K152" s="8">
        <f t="shared" si="10"/>
        <v>3</v>
      </c>
      <c r="L152" s="9">
        <f t="shared" si="11"/>
        <v>2022</v>
      </c>
    </row>
    <row r="153" spans="1:12" ht="14.4">
      <c r="A153" s="4" t="s">
        <v>129</v>
      </c>
      <c r="B153" s="4" t="s">
        <v>23</v>
      </c>
      <c r="C153" s="4" t="s">
        <v>31</v>
      </c>
      <c r="D153" s="4">
        <v>40</v>
      </c>
      <c r="E153" s="5">
        <v>44320</v>
      </c>
      <c r="F153" s="6">
        <v>104410</v>
      </c>
      <c r="G153" s="4" t="s">
        <v>21</v>
      </c>
      <c r="H153" s="4" t="s">
        <v>119</v>
      </c>
      <c r="I153" s="10">
        <f t="shared" ca="1" si="8"/>
        <v>4.4602739726027396</v>
      </c>
      <c r="J153" s="11">
        <f t="shared" ca="1" si="9"/>
        <v>3133</v>
      </c>
      <c r="K153" s="8">
        <f t="shared" si="10"/>
        <v>3</v>
      </c>
      <c r="L153" s="9">
        <f t="shared" si="11"/>
        <v>2021</v>
      </c>
    </row>
    <row r="154" spans="1:12" ht="14.4">
      <c r="A154" s="4" t="s">
        <v>106</v>
      </c>
      <c r="B154" s="4" t="s">
        <v>23</v>
      </c>
      <c r="C154" s="4" t="s">
        <v>31</v>
      </c>
      <c r="D154" s="4">
        <v>40</v>
      </c>
      <c r="E154" s="5">
        <v>44381</v>
      </c>
      <c r="F154" s="6">
        <v>104410</v>
      </c>
      <c r="G154" s="4" t="s">
        <v>21</v>
      </c>
      <c r="H154" s="4" t="s">
        <v>18</v>
      </c>
      <c r="I154" s="10">
        <f t="shared" ca="1" si="8"/>
        <v>4.2931506849315069</v>
      </c>
      <c r="J154" s="11">
        <f t="shared" ca="1" si="9"/>
        <v>3133</v>
      </c>
      <c r="K154" s="8">
        <f t="shared" si="10"/>
        <v>3</v>
      </c>
      <c r="L154" s="9">
        <f t="shared" si="11"/>
        <v>2021</v>
      </c>
    </row>
    <row r="155" spans="1:12" ht="14.4">
      <c r="A155" s="4" t="s">
        <v>165</v>
      </c>
      <c r="B155" s="4" t="s">
        <v>23</v>
      </c>
      <c r="C155" s="4" t="s">
        <v>20</v>
      </c>
      <c r="D155" s="4">
        <v>28</v>
      </c>
      <c r="E155" s="5">
        <v>44425</v>
      </c>
      <c r="F155" s="6">
        <v>104770</v>
      </c>
      <c r="G155" s="4" t="s">
        <v>21</v>
      </c>
      <c r="H155" s="4" t="s">
        <v>119</v>
      </c>
      <c r="I155" s="10">
        <f t="shared" ca="1" si="8"/>
        <v>4.1726027397260275</v>
      </c>
      <c r="J155" s="11">
        <f t="shared" ca="1" si="9"/>
        <v>3144</v>
      </c>
      <c r="K155" s="8">
        <f t="shared" si="10"/>
        <v>3</v>
      </c>
      <c r="L155" s="9">
        <f t="shared" si="11"/>
        <v>2021</v>
      </c>
    </row>
    <row r="156" spans="1:12" ht="14.4">
      <c r="A156" s="4" t="s">
        <v>89</v>
      </c>
      <c r="B156" s="4" t="s">
        <v>23</v>
      </c>
      <c r="C156" s="4" t="s">
        <v>20</v>
      </c>
      <c r="D156" s="4">
        <v>28</v>
      </c>
      <c r="E156" s="5">
        <v>44486</v>
      </c>
      <c r="F156" s="6">
        <v>104770</v>
      </c>
      <c r="G156" s="4" t="s">
        <v>21</v>
      </c>
      <c r="H156" s="4" t="s">
        <v>18</v>
      </c>
      <c r="I156" s="10">
        <f t="shared" ca="1" si="8"/>
        <v>4.0054794520547947</v>
      </c>
      <c r="J156" s="11">
        <f t="shared" ca="1" si="9"/>
        <v>3144</v>
      </c>
      <c r="K156" s="8">
        <f t="shared" si="10"/>
        <v>3</v>
      </c>
      <c r="L156" s="9">
        <f t="shared" si="11"/>
        <v>2021</v>
      </c>
    </row>
    <row r="157" spans="1:12" ht="14.4">
      <c r="A157" s="4" t="s">
        <v>193</v>
      </c>
      <c r="B157" s="4" t="s">
        <v>15</v>
      </c>
      <c r="C157" s="4" t="s">
        <v>20</v>
      </c>
      <c r="D157" s="4">
        <v>23</v>
      </c>
      <c r="E157" s="5">
        <v>44378</v>
      </c>
      <c r="F157" s="6">
        <v>106460</v>
      </c>
      <c r="G157" s="4" t="s">
        <v>21</v>
      </c>
      <c r="H157" s="4" t="s">
        <v>119</v>
      </c>
      <c r="I157" s="10">
        <f t="shared" ca="1" si="8"/>
        <v>4.3013698630136989</v>
      </c>
      <c r="J157" s="11">
        <f t="shared" ca="1" si="9"/>
        <v>3194</v>
      </c>
      <c r="K157" s="8">
        <f t="shared" si="10"/>
        <v>3</v>
      </c>
      <c r="L157" s="9">
        <f t="shared" si="11"/>
        <v>2021</v>
      </c>
    </row>
    <row r="158" spans="1:12" ht="14.4">
      <c r="A158" s="4" t="s">
        <v>102</v>
      </c>
      <c r="B158" s="4" t="s">
        <v>15</v>
      </c>
      <c r="C158" s="4" t="s">
        <v>20</v>
      </c>
      <c r="D158" s="4">
        <v>23</v>
      </c>
      <c r="E158" s="5">
        <v>44440</v>
      </c>
      <c r="F158" s="6">
        <v>106460</v>
      </c>
      <c r="G158" s="4" t="s">
        <v>21</v>
      </c>
      <c r="H158" s="4" t="s">
        <v>18</v>
      </c>
      <c r="I158" s="10">
        <f t="shared" ca="1" si="8"/>
        <v>4.1315068493150688</v>
      </c>
      <c r="J158" s="11">
        <f t="shared" ca="1" si="9"/>
        <v>3194</v>
      </c>
      <c r="K158" s="8">
        <f t="shared" si="10"/>
        <v>3</v>
      </c>
      <c r="L158" s="9">
        <f t="shared" si="11"/>
        <v>2021</v>
      </c>
    </row>
    <row r="159" spans="1:12" ht="14.4">
      <c r="A159" s="4" t="s">
        <v>201</v>
      </c>
      <c r="B159" s="4" t="s">
        <v>15</v>
      </c>
      <c r="C159" s="4" t="s">
        <v>31</v>
      </c>
      <c r="D159" s="4">
        <v>20</v>
      </c>
      <c r="E159" s="5">
        <v>44397</v>
      </c>
      <c r="F159" s="6">
        <v>107700</v>
      </c>
      <c r="G159" s="4" t="s">
        <v>21</v>
      </c>
      <c r="H159" s="4" t="s">
        <v>119</v>
      </c>
      <c r="I159" s="10">
        <f t="shared" ca="1" si="8"/>
        <v>4.2493150684931509</v>
      </c>
      <c r="J159" s="11">
        <f t="shared" ca="1" si="9"/>
        <v>3231</v>
      </c>
      <c r="K159" s="8">
        <f t="shared" si="10"/>
        <v>3</v>
      </c>
      <c r="L159" s="9">
        <f t="shared" si="11"/>
        <v>2021</v>
      </c>
    </row>
    <row r="160" spans="1:12" ht="14.4">
      <c r="A160" s="4" t="s">
        <v>38</v>
      </c>
      <c r="B160" s="4" t="s">
        <v>15</v>
      </c>
      <c r="C160" s="4" t="s">
        <v>31</v>
      </c>
      <c r="D160" s="4">
        <v>20</v>
      </c>
      <c r="E160" s="5">
        <v>44459</v>
      </c>
      <c r="F160" s="6">
        <v>107700</v>
      </c>
      <c r="G160" s="4" t="s">
        <v>21</v>
      </c>
      <c r="H160" s="4" t="s">
        <v>18</v>
      </c>
      <c r="I160" s="10">
        <f t="shared" ca="1" si="8"/>
        <v>4.0794520547945208</v>
      </c>
      <c r="J160" s="11">
        <f t="shared" ca="1" si="9"/>
        <v>3231</v>
      </c>
      <c r="K160" s="8">
        <f t="shared" si="10"/>
        <v>3</v>
      </c>
      <c r="L160" s="9">
        <f t="shared" si="11"/>
        <v>2021</v>
      </c>
    </row>
    <row r="161" spans="1:12" ht="14.4">
      <c r="A161" s="4" t="s">
        <v>182</v>
      </c>
      <c r="B161" s="4" t="s">
        <v>23</v>
      </c>
      <c r="C161" s="4" t="s">
        <v>16</v>
      </c>
      <c r="D161" s="4">
        <v>38</v>
      </c>
      <c r="E161" s="5">
        <v>44316</v>
      </c>
      <c r="F161" s="6">
        <v>109160</v>
      </c>
      <c r="G161" s="4" t="s">
        <v>51</v>
      </c>
      <c r="H161" s="4" t="s">
        <v>119</v>
      </c>
      <c r="I161" s="10">
        <f t="shared" ca="1" si="8"/>
        <v>4.4712328767123291</v>
      </c>
      <c r="J161" s="11">
        <f t="shared" ca="1" si="9"/>
        <v>3275</v>
      </c>
      <c r="K161" s="8">
        <f t="shared" si="10"/>
        <v>5</v>
      </c>
      <c r="L161" s="9">
        <f t="shared" si="11"/>
        <v>2021</v>
      </c>
    </row>
    <row r="162" spans="1:12" ht="14.4">
      <c r="A162" s="4" t="s">
        <v>82</v>
      </c>
      <c r="B162" s="4" t="s">
        <v>23</v>
      </c>
      <c r="C162" s="4" t="s">
        <v>16</v>
      </c>
      <c r="D162" s="4">
        <v>38</v>
      </c>
      <c r="E162" s="5">
        <v>44377</v>
      </c>
      <c r="F162" s="6">
        <v>109160</v>
      </c>
      <c r="G162" s="4" t="s">
        <v>51</v>
      </c>
      <c r="H162" s="4" t="s">
        <v>18</v>
      </c>
      <c r="I162" s="10">
        <f t="shared" ca="1" si="8"/>
        <v>4.3041095890410963</v>
      </c>
      <c r="J162" s="11">
        <f t="shared" ca="1" si="9"/>
        <v>3275</v>
      </c>
      <c r="K162" s="8">
        <f t="shared" si="10"/>
        <v>5</v>
      </c>
      <c r="L162" s="9">
        <f t="shared" si="11"/>
        <v>2021</v>
      </c>
    </row>
    <row r="163" spans="1:12" ht="14.4">
      <c r="A163" s="4" t="s">
        <v>128</v>
      </c>
      <c r="B163" s="4" t="s">
        <v>15</v>
      </c>
      <c r="C163" s="4" t="s">
        <v>20</v>
      </c>
      <c r="D163" s="4">
        <v>25</v>
      </c>
      <c r="E163" s="5">
        <v>44665</v>
      </c>
      <c r="F163" s="6">
        <v>109190</v>
      </c>
      <c r="G163" s="4" t="s">
        <v>17</v>
      </c>
      <c r="H163" s="4" t="s">
        <v>119</v>
      </c>
      <c r="I163" s="10">
        <f t="shared" ca="1" si="8"/>
        <v>3.515068493150685</v>
      </c>
      <c r="J163" s="11">
        <f t="shared" ca="1" si="9"/>
        <v>3276</v>
      </c>
      <c r="K163" s="8">
        <f t="shared" si="10"/>
        <v>4</v>
      </c>
      <c r="L163" s="9">
        <f t="shared" si="11"/>
        <v>2022</v>
      </c>
    </row>
    <row r="164" spans="1:12" ht="14.4">
      <c r="A164" s="4" t="s">
        <v>60</v>
      </c>
      <c r="B164" s="4" t="s">
        <v>15</v>
      </c>
      <c r="C164" s="4" t="s">
        <v>20</v>
      </c>
      <c r="D164" s="4">
        <v>25</v>
      </c>
      <c r="E164" s="5">
        <v>44726</v>
      </c>
      <c r="F164" s="6">
        <v>109190</v>
      </c>
      <c r="G164" s="4" t="s">
        <v>17</v>
      </c>
      <c r="H164" s="4" t="s">
        <v>18</v>
      </c>
      <c r="I164" s="10">
        <f t="shared" ca="1" si="8"/>
        <v>3.3479452054794518</v>
      </c>
      <c r="J164" s="11">
        <f t="shared" ca="1" si="9"/>
        <v>3276</v>
      </c>
      <c r="K164" s="8">
        <f t="shared" si="10"/>
        <v>4</v>
      </c>
      <c r="L164" s="9">
        <f t="shared" si="11"/>
        <v>2022</v>
      </c>
    </row>
    <row r="165" spans="1:12" ht="14.4">
      <c r="A165" s="4" t="s">
        <v>154</v>
      </c>
      <c r="B165" s="4" t="s">
        <v>15</v>
      </c>
      <c r="C165" s="4" t="s">
        <v>31</v>
      </c>
      <c r="D165" s="4">
        <v>29</v>
      </c>
      <c r="E165" s="5">
        <v>44119</v>
      </c>
      <c r="F165" s="6">
        <v>112110</v>
      </c>
      <c r="G165" s="4" t="s">
        <v>26</v>
      </c>
      <c r="H165" s="4" t="s">
        <v>119</v>
      </c>
      <c r="I165" s="10">
        <f t="shared" ca="1" si="8"/>
        <v>5.0109589041095894</v>
      </c>
      <c r="J165" s="11">
        <f t="shared" ca="1" si="9"/>
        <v>3364</v>
      </c>
      <c r="K165" s="8">
        <f t="shared" si="10"/>
        <v>2</v>
      </c>
      <c r="L165" s="9">
        <f t="shared" si="11"/>
        <v>2020</v>
      </c>
    </row>
    <row r="166" spans="1:12" ht="14.4">
      <c r="A166" s="4" t="s">
        <v>35</v>
      </c>
      <c r="B166" s="4" t="s">
        <v>15</v>
      </c>
      <c r="C166" s="4" t="s">
        <v>31</v>
      </c>
      <c r="D166" s="4">
        <v>29</v>
      </c>
      <c r="E166" s="5">
        <v>44180</v>
      </c>
      <c r="F166" s="6">
        <v>112110</v>
      </c>
      <c r="G166" s="4" t="s">
        <v>26</v>
      </c>
      <c r="H166" s="4" t="s">
        <v>18</v>
      </c>
      <c r="I166" s="10">
        <f t="shared" ca="1" si="8"/>
        <v>4.8438356164383558</v>
      </c>
      <c r="J166" s="11">
        <f t="shared" ca="1" si="9"/>
        <v>3364</v>
      </c>
      <c r="K166" s="8">
        <f t="shared" si="10"/>
        <v>2</v>
      </c>
      <c r="L166" s="9">
        <f t="shared" si="11"/>
        <v>2020</v>
      </c>
    </row>
    <row r="167" spans="1:12" ht="14.4">
      <c r="A167" s="4" t="s">
        <v>148</v>
      </c>
      <c r="B167" s="4" t="s">
        <v>23</v>
      </c>
      <c r="C167" s="4" t="s">
        <v>20</v>
      </c>
      <c r="D167" s="4">
        <v>30</v>
      </c>
      <c r="E167" s="5">
        <v>44800</v>
      </c>
      <c r="F167" s="6">
        <v>112570</v>
      </c>
      <c r="G167" s="4" t="s">
        <v>21</v>
      </c>
      <c r="H167" s="4" t="s">
        <v>119</v>
      </c>
      <c r="I167" s="10">
        <f t="shared" ca="1" si="8"/>
        <v>3.1452054794520548</v>
      </c>
      <c r="J167" s="11">
        <f t="shared" ca="1" si="9"/>
        <v>3378</v>
      </c>
      <c r="K167" s="8">
        <f t="shared" si="10"/>
        <v>3</v>
      </c>
      <c r="L167" s="9">
        <f t="shared" si="11"/>
        <v>2022</v>
      </c>
    </row>
    <row r="168" spans="1:12" ht="14.4">
      <c r="A168" s="4" t="s">
        <v>28</v>
      </c>
      <c r="B168" s="4" t="s">
        <v>23</v>
      </c>
      <c r="C168" s="4" t="s">
        <v>20</v>
      </c>
      <c r="D168" s="4">
        <v>30</v>
      </c>
      <c r="E168" s="5">
        <v>44861</v>
      </c>
      <c r="F168" s="6">
        <v>112570</v>
      </c>
      <c r="G168" s="4" t="s">
        <v>21</v>
      </c>
      <c r="H168" s="4" t="s">
        <v>18</v>
      </c>
      <c r="I168" s="10">
        <f t="shared" ca="1" si="8"/>
        <v>2.978082191780822</v>
      </c>
      <c r="J168" s="11">
        <f t="shared" ca="1" si="9"/>
        <v>2252</v>
      </c>
      <c r="K168" s="8">
        <f t="shared" si="10"/>
        <v>3</v>
      </c>
      <c r="L168" s="9">
        <f t="shared" si="11"/>
        <v>2022</v>
      </c>
    </row>
    <row r="169" spans="1:12" ht="14.4">
      <c r="A169" s="4" t="s">
        <v>118</v>
      </c>
      <c r="B169" s="4" t="s">
        <v>15</v>
      </c>
      <c r="C169" s="4" t="s">
        <v>31</v>
      </c>
      <c r="D169" s="4">
        <v>20</v>
      </c>
      <c r="E169" s="5">
        <v>44122</v>
      </c>
      <c r="F169" s="6">
        <v>112650</v>
      </c>
      <c r="G169" s="4" t="s">
        <v>21</v>
      </c>
      <c r="H169" s="4" t="s">
        <v>119</v>
      </c>
      <c r="I169" s="10">
        <f t="shared" ca="1" si="8"/>
        <v>5.0027397260273974</v>
      </c>
      <c r="J169" s="11">
        <f t="shared" ca="1" si="9"/>
        <v>3380</v>
      </c>
      <c r="K169" s="8">
        <f t="shared" si="10"/>
        <v>3</v>
      </c>
      <c r="L169" s="9">
        <f t="shared" si="11"/>
        <v>2020</v>
      </c>
    </row>
    <row r="170" spans="1:12" ht="14.4">
      <c r="A170" s="4" t="s">
        <v>133</v>
      </c>
      <c r="B170" s="4" t="s">
        <v>15</v>
      </c>
      <c r="C170" s="4" t="s">
        <v>20</v>
      </c>
      <c r="D170" s="4">
        <v>34</v>
      </c>
      <c r="E170" s="5">
        <v>44642</v>
      </c>
      <c r="F170" s="6">
        <v>112650</v>
      </c>
      <c r="G170" s="4" t="s">
        <v>21</v>
      </c>
      <c r="H170" s="4" t="s">
        <v>119</v>
      </c>
      <c r="I170" s="10">
        <f t="shared" ca="1" si="8"/>
        <v>3.5780821917808221</v>
      </c>
      <c r="J170" s="11">
        <f t="shared" ca="1" si="9"/>
        <v>3380</v>
      </c>
      <c r="K170" s="8">
        <f t="shared" si="10"/>
        <v>3</v>
      </c>
      <c r="L170" s="9">
        <f t="shared" si="11"/>
        <v>2022</v>
      </c>
    </row>
    <row r="171" spans="1:12" ht="14.4">
      <c r="A171" s="4" t="s">
        <v>71</v>
      </c>
      <c r="B171" s="4" t="s">
        <v>15</v>
      </c>
      <c r="C171" s="4" t="s">
        <v>31</v>
      </c>
      <c r="D171" s="4">
        <v>20</v>
      </c>
      <c r="E171" s="5">
        <v>44183</v>
      </c>
      <c r="F171" s="6">
        <v>112650</v>
      </c>
      <c r="G171" s="4" t="s">
        <v>21</v>
      </c>
      <c r="H171" s="4" t="s">
        <v>18</v>
      </c>
      <c r="I171" s="10">
        <f t="shared" ca="1" si="8"/>
        <v>4.8356164383561646</v>
      </c>
      <c r="J171" s="11">
        <f t="shared" ca="1" si="9"/>
        <v>3380</v>
      </c>
      <c r="K171" s="8">
        <f t="shared" si="10"/>
        <v>3</v>
      </c>
      <c r="L171" s="9">
        <f t="shared" si="11"/>
        <v>2020</v>
      </c>
    </row>
    <row r="172" spans="1:12" ht="14.4">
      <c r="A172" s="4" t="s">
        <v>156</v>
      </c>
      <c r="B172" s="4" t="s">
        <v>15</v>
      </c>
      <c r="C172" s="4" t="s">
        <v>16</v>
      </c>
      <c r="D172" s="4">
        <v>22</v>
      </c>
      <c r="E172" s="5">
        <v>44384</v>
      </c>
      <c r="F172" s="6">
        <v>112780</v>
      </c>
      <c r="G172" s="4" t="s">
        <v>17</v>
      </c>
      <c r="H172" s="4" t="s">
        <v>119</v>
      </c>
      <c r="I172" s="10">
        <f t="shared" ca="1" si="8"/>
        <v>4.2849315068493148</v>
      </c>
      <c r="J172" s="11">
        <f t="shared" ca="1" si="9"/>
        <v>3384</v>
      </c>
      <c r="K172" s="8">
        <f t="shared" si="10"/>
        <v>4</v>
      </c>
      <c r="L172" s="9">
        <f t="shared" si="11"/>
        <v>2021</v>
      </c>
    </row>
    <row r="173" spans="1:12" ht="14.4">
      <c r="A173" s="4" t="s">
        <v>14</v>
      </c>
      <c r="B173" s="4" t="s">
        <v>15</v>
      </c>
      <c r="C173" s="4" t="s">
        <v>16</v>
      </c>
      <c r="D173" s="4">
        <v>22</v>
      </c>
      <c r="E173" s="5">
        <v>44446</v>
      </c>
      <c r="F173" s="6">
        <v>112780</v>
      </c>
      <c r="G173" s="4" t="s">
        <v>17</v>
      </c>
      <c r="H173" s="4" t="s">
        <v>18</v>
      </c>
      <c r="I173" s="10">
        <f t="shared" ca="1" si="8"/>
        <v>4.1150684931506847</v>
      </c>
      <c r="J173" s="11">
        <f t="shared" ca="1" si="9"/>
        <v>3384</v>
      </c>
      <c r="K173" s="8">
        <f t="shared" si="10"/>
        <v>4</v>
      </c>
      <c r="L173" s="9">
        <f t="shared" si="11"/>
        <v>2021</v>
      </c>
    </row>
    <row r="174" spans="1:12" ht="14.4">
      <c r="A174" s="4" t="s">
        <v>186</v>
      </c>
      <c r="B174" s="4" t="s">
        <v>15</v>
      </c>
      <c r="C174" s="4" t="s">
        <v>20</v>
      </c>
      <c r="D174" s="4">
        <v>27</v>
      </c>
      <c r="E174" s="5">
        <v>44547</v>
      </c>
      <c r="F174" s="6">
        <v>113280</v>
      </c>
      <c r="G174" s="4" t="s">
        <v>57</v>
      </c>
      <c r="H174" s="4" t="s">
        <v>119</v>
      </c>
      <c r="I174" s="10">
        <f t="shared" ca="1" si="8"/>
        <v>3.8383561643835615</v>
      </c>
      <c r="J174" s="11">
        <f t="shared" ca="1" si="9"/>
        <v>3399</v>
      </c>
      <c r="K174" s="8">
        <f t="shared" si="10"/>
        <v>1</v>
      </c>
      <c r="L174" s="9">
        <f t="shared" si="11"/>
        <v>2021</v>
      </c>
    </row>
    <row r="175" spans="1:12" ht="14.4">
      <c r="A175" s="4" t="s">
        <v>83</v>
      </c>
      <c r="B175" s="4" t="s">
        <v>15</v>
      </c>
      <c r="C175" s="4" t="s">
        <v>20</v>
      </c>
      <c r="D175" s="4">
        <v>27</v>
      </c>
      <c r="E175" s="5">
        <v>44609</v>
      </c>
      <c r="F175" s="6">
        <v>113280</v>
      </c>
      <c r="G175" s="4" t="s">
        <v>57</v>
      </c>
      <c r="H175" s="4" t="s">
        <v>18</v>
      </c>
      <c r="I175" s="10">
        <f t="shared" ca="1" si="8"/>
        <v>3.6684931506849314</v>
      </c>
      <c r="J175" s="11">
        <f t="shared" ca="1" si="9"/>
        <v>3399</v>
      </c>
      <c r="K175" s="8">
        <f t="shared" si="10"/>
        <v>1</v>
      </c>
      <c r="L175" s="9">
        <f t="shared" si="11"/>
        <v>2022</v>
      </c>
    </row>
    <row r="176" spans="1:12" ht="14.4">
      <c r="A176" s="4" t="s">
        <v>196</v>
      </c>
      <c r="B176" s="4" t="s">
        <v>23</v>
      </c>
      <c r="C176" s="4" t="s">
        <v>20</v>
      </c>
      <c r="D176" s="4">
        <v>30</v>
      </c>
      <c r="E176" s="5">
        <v>44789</v>
      </c>
      <c r="F176" s="6">
        <v>114180</v>
      </c>
      <c r="G176" s="4" t="s">
        <v>21</v>
      </c>
      <c r="H176" s="4" t="s">
        <v>119</v>
      </c>
      <c r="I176" s="10">
        <f t="shared" ca="1" si="8"/>
        <v>3.1753424657534248</v>
      </c>
      <c r="J176" s="11">
        <f t="shared" ca="1" si="9"/>
        <v>3426</v>
      </c>
      <c r="K176" s="8">
        <f t="shared" si="10"/>
        <v>3</v>
      </c>
      <c r="L176" s="9">
        <f t="shared" si="11"/>
        <v>2022</v>
      </c>
    </row>
    <row r="177" spans="1:12" ht="14.4">
      <c r="A177" s="4" t="s">
        <v>100</v>
      </c>
      <c r="B177" s="4" t="s">
        <v>23</v>
      </c>
      <c r="C177" s="4" t="s">
        <v>20</v>
      </c>
      <c r="D177" s="4">
        <v>30</v>
      </c>
      <c r="E177" s="5">
        <v>44850</v>
      </c>
      <c r="F177" s="6">
        <v>114180</v>
      </c>
      <c r="G177" s="4" t="s">
        <v>21</v>
      </c>
      <c r="H177" s="4" t="s">
        <v>18</v>
      </c>
      <c r="I177" s="10">
        <f t="shared" ca="1" si="8"/>
        <v>3.0082191780821916</v>
      </c>
      <c r="J177" s="11">
        <f t="shared" ca="1" si="9"/>
        <v>3426</v>
      </c>
      <c r="K177" s="8">
        <f t="shared" si="10"/>
        <v>3</v>
      </c>
      <c r="L177" s="9">
        <f t="shared" si="11"/>
        <v>2022</v>
      </c>
    </row>
    <row r="178" spans="1:12" ht="14.4">
      <c r="A178" s="4" t="s">
        <v>146</v>
      </c>
      <c r="B178" s="4" t="s">
        <v>23</v>
      </c>
      <c r="C178" s="4" t="s">
        <v>31</v>
      </c>
      <c r="D178" s="4">
        <v>44</v>
      </c>
      <c r="E178" s="5">
        <v>44985</v>
      </c>
      <c r="F178" s="6">
        <v>114870</v>
      </c>
      <c r="G178" s="4" t="s">
        <v>21</v>
      </c>
      <c r="H178" s="4" t="s">
        <v>119</v>
      </c>
      <c r="I178" s="10">
        <f t="shared" ca="1" si="8"/>
        <v>2.6383561643835618</v>
      </c>
      <c r="J178" s="11">
        <f t="shared" ca="1" si="9"/>
        <v>2298</v>
      </c>
      <c r="K178" s="8">
        <f t="shared" si="10"/>
        <v>3</v>
      </c>
      <c r="L178" s="9">
        <f t="shared" si="11"/>
        <v>2023</v>
      </c>
    </row>
    <row r="179" spans="1:12" ht="14.4">
      <c r="A179" s="4" t="s">
        <v>87</v>
      </c>
      <c r="B179" s="4" t="s">
        <v>23</v>
      </c>
      <c r="C179" s="4" t="s">
        <v>31</v>
      </c>
      <c r="D179" s="4">
        <v>43</v>
      </c>
      <c r="E179" s="5">
        <v>45045</v>
      </c>
      <c r="F179" s="6">
        <v>114870</v>
      </c>
      <c r="G179" s="4" t="s">
        <v>21</v>
      </c>
      <c r="H179" s="4" t="s">
        <v>18</v>
      </c>
      <c r="I179" s="10">
        <f t="shared" ca="1" si="8"/>
        <v>2.473972602739726</v>
      </c>
      <c r="J179" s="11">
        <f t="shared" ca="1" si="9"/>
        <v>2298</v>
      </c>
      <c r="K179" s="8">
        <f t="shared" si="10"/>
        <v>3</v>
      </c>
      <c r="L179" s="9">
        <f t="shared" si="11"/>
        <v>2023</v>
      </c>
    </row>
    <row r="180" spans="1:12" ht="14.4">
      <c r="A180" s="4" t="s">
        <v>157</v>
      </c>
      <c r="B180" s="4" t="s">
        <v>23</v>
      </c>
      <c r="C180" s="4" t="s">
        <v>20</v>
      </c>
      <c r="D180" s="4">
        <v>36</v>
      </c>
      <c r="E180" s="5">
        <v>44023</v>
      </c>
      <c r="F180" s="6">
        <v>114890</v>
      </c>
      <c r="G180" s="4" t="s">
        <v>21</v>
      </c>
      <c r="H180" s="4" t="s">
        <v>119</v>
      </c>
      <c r="I180" s="10">
        <f t="shared" ca="1" si="8"/>
        <v>5.2739726027397262</v>
      </c>
      <c r="J180" s="11">
        <f t="shared" ca="1" si="9"/>
        <v>3447</v>
      </c>
      <c r="K180" s="8">
        <f t="shared" si="10"/>
        <v>3</v>
      </c>
      <c r="L180" s="9">
        <f t="shared" si="11"/>
        <v>2020</v>
      </c>
    </row>
    <row r="181" spans="1:12" ht="14.4">
      <c r="A181" s="4" t="s">
        <v>79</v>
      </c>
      <c r="B181" s="4" t="s">
        <v>23</v>
      </c>
      <c r="C181" s="4" t="s">
        <v>20</v>
      </c>
      <c r="D181" s="4">
        <v>36</v>
      </c>
      <c r="E181" s="5">
        <v>44085</v>
      </c>
      <c r="F181" s="6">
        <v>114890</v>
      </c>
      <c r="G181" s="4" t="s">
        <v>21</v>
      </c>
      <c r="H181" s="4" t="s">
        <v>18</v>
      </c>
      <c r="I181" s="10">
        <f t="shared" ca="1" si="8"/>
        <v>5.1041095890410961</v>
      </c>
      <c r="J181" s="11">
        <f t="shared" ca="1" si="9"/>
        <v>3447</v>
      </c>
      <c r="K181" s="8">
        <f t="shared" si="10"/>
        <v>3</v>
      </c>
      <c r="L181" s="9">
        <f t="shared" si="11"/>
        <v>2020</v>
      </c>
    </row>
    <row r="182" spans="1:12" ht="14.4">
      <c r="A182" s="4" t="s">
        <v>123</v>
      </c>
      <c r="B182" s="4" t="s">
        <v>215</v>
      </c>
      <c r="C182" s="4" t="s">
        <v>25</v>
      </c>
      <c r="D182" s="4">
        <v>37</v>
      </c>
      <c r="E182" s="5">
        <v>44085</v>
      </c>
      <c r="F182" s="6">
        <v>115440</v>
      </c>
      <c r="G182" s="4" t="s">
        <v>26</v>
      </c>
      <c r="H182" s="4" t="s">
        <v>119</v>
      </c>
      <c r="I182" s="10">
        <f t="shared" ca="1" si="8"/>
        <v>5.1041095890410961</v>
      </c>
      <c r="J182" s="11">
        <f t="shared" ca="1" si="9"/>
        <v>3464</v>
      </c>
      <c r="K182" s="8">
        <f t="shared" si="10"/>
        <v>2</v>
      </c>
      <c r="L182" s="9">
        <f t="shared" si="11"/>
        <v>2020</v>
      </c>
    </row>
    <row r="183" spans="1:12" ht="14.4">
      <c r="A183" s="4" t="s">
        <v>24</v>
      </c>
      <c r="B183" s="4" t="s">
        <v>215</v>
      </c>
      <c r="C183" s="4" t="s">
        <v>25</v>
      </c>
      <c r="D183" s="4">
        <v>37</v>
      </c>
      <c r="E183" s="5">
        <v>44146</v>
      </c>
      <c r="F183" s="6">
        <v>115440</v>
      </c>
      <c r="G183" s="4" t="s">
        <v>26</v>
      </c>
      <c r="H183" s="4" t="s">
        <v>18</v>
      </c>
      <c r="I183" s="10">
        <f t="shared" ca="1" si="8"/>
        <v>4.9369863013698634</v>
      </c>
      <c r="J183" s="11">
        <f t="shared" ca="1" si="9"/>
        <v>3464</v>
      </c>
      <c r="K183" s="8">
        <f t="shared" si="10"/>
        <v>2</v>
      </c>
      <c r="L183" s="9">
        <f t="shared" si="11"/>
        <v>2020</v>
      </c>
    </row>
    <row r="184" spans="1:12" ht="14.4">
      <c r="A184" s="4" t="s">
        <v>172</v>
      </c>
      <c r="B184" s="4" t="s">
        <v>15</v>
      </c>
      <c r="C184" s="4" t="s">
        <v>20</v>
      </c>
      <c r="D184" s="4">
        <v>33</v>
      </c>
      <c r="E184" s="5">
        <v>44103</v>
      </c>
      <c r="F184" s="6">
        <v>115920</v>
      </c>
      <c r="G184" s="4" t="s">
        <v>21</v>
      </c>
      <c r="H184" s="4" t="s">
        <v>119</v>
      </c>
      <c r="I184" s="10">
        <f t="shared" ca="1" si="8"/>
        <v>5.0547945205479454</v>
      </c>
      <c r="J184" s="11">
        <f t="shared" ca="1" si="9"/>
        <v>3478</v>
      </c>
      <c r="K184" s="8">
        <f t="shared" si="10"/>
        <v>3</v>
      </c>
      <c r="L184" s="9">
        <f t="shared" si="11"/>
        <v>2020</v>
      </c>
    </row>
    <row r="185" spans="1:12" ht="14.4">
      <c r="A185" s="4" t="s">
        <v>58</v>
      </c>
      <c r="B185" s="4" t="s">
        <v>15</v>
      </c>
      <c r="C185" s="4" t="s">
        <v>20</v>
      </c>
      <c r="D185" s="4">
        <v>33</v>
      </c>
      <c r="E185" s="5">
        <v>44164</v>
      </c>
      <c r="F185" s="6">
        <v>115920</v>
      </c>
      <c r="G185" s="4" t="s">
        <v>21</v>
      </c>
      <c r="H185" s="4" t="s">
        <v>18</v>
      </c>
      <c r="I185" s="10">
        <f t="shared" ca="1" si="8"/>
        <v>4.8876712328767127</v>
      </c>
      <c r="J185" s="11">
        <f t="shared" ca="1" si="9"/>
        <v>3478</v>
      </c>
      <c r="K185" s="8">
        <f t="shared" si="10"/>
        <v>3</v>
      </c>
      <c r="L185" s="9">
        <f t="shared" si="11"/>
        <v>2020</v>
      </c>
    </row>
    <row r="186" spans="1:12" ht="14.4">
      <c r="A186" s="4" t="s">
        <v>194</v>
      </c>
      <c r="B186" s="4" t="s">
        <v>23</v>
      </c>
      <c r="C186" s="4" t="s">
        <v>34</v>
      </c>
      <c r="D186" s="4">
        <v>37</v>
      </c>
      <c r="E186" s="5">
        <v>44389</v>
      </c>
      <c r="F186" s="6">
        <v>118100</v>
      </c>
      <c r="G186" s="4" t="s">
        <v>21</v>
      </c>
      <c r="H186" s="4" t="s">
        <v>119</v>
      </c>
      <c r="I186" s="10">
        <f t="shared" ca="1" si="8"/>
        <v>4.2712328767123289</v>
      </c>
      <c r="J186" s="11">
        <f t="shared" ca="1" si="9"/>
        <v>3543</v>
      </c>
      <c r="K186" s="8">
        <f t="shared" si="10"/>
        <v>3</v>
      </c>
      <c r="L186" s="9">
        <f t="shared" si="11"/>
        <v>2021</v>
      </c>
    </row>
    <row r="187" spans="1:12" ht="14.4">
      <c r="A187" s="4" t="s">
        <v>85</v>
      </c>
      <c r="B187" s="4" t="s">
        <v>23</v>
      </c>
      <c r="C187" s="4" t="s">
        <v>34</v>
      </c>
      <c r="D187" s="4">
        <v>37</v>
      </c>
      <c r="E187" s="5">
        <v>44451</v>
      </c>
      <c r="F187" s="6">
        <v>118100</v>
      </c>
      <c r="G187" s="4" t="s">
        <v>21</v>
      </c>
      <c r="H187" s="4" t="s">
        <v>18</v>
      </c>
      <c r="I187" s="10">
        <f t="shared" ca="1" si="8"/>
        <v>4.1013698630136988</v>
      </c>
      <c r="J187" s="11">
        <f t="shared" ca="1" si="9"/>
        <v>3543</v>
      </c>
      <c r="K187" s="8">
        <f t="shared" si="10"/>
        <v>3</v>
      </c>
      <c r="L187" s="9">
        <f t="shared" si="11"/>
        <v>2021</v>
      </c>
    </row>
    <row r="188" spans="1:12" ht="14.4">
      <c r="A188" s="4" t="s">
        <v>135</v>
      </c>
      <c r="B188" s="4" t="s">
        <v>15</v>
      </c>
      <c r="C188" s="4" t="s">
        <v>31</v>
      </c>
      <c r="D188" s="4">
        <v>36</v>
      </c>
      <c r="E188" s="5">
        <v>43958</v>
      </c>
      <c r="F188" s="6">
        <v>118840</v>
      </c>
      <c r="G188" s="4" t="s">
        <v>21</v>
      </c>
      <c r="H188" s="4" t="s">
        <v>119</v>
      </c>
      <c r="I188" s="10">
        <f t="shared" ca="1" si="8"/>
        <v>5.4520547945205475</v>
      </c>
      <c r="J188" s="11">
        <f t="shared" ca="1" si="9"/>
        <v>3566</v>
      </c>
      <c r="K188" s="8">
        <f t="shared" si="10"/>
        <v>3</v>
      </c>
      <c r="L188" s="9">
        <f t="shared" si="11"/>
        <v>2020</v>
      </c>
    </row>
    <row r="189" spans="1:12" ht="14.4">
      <c r="A189" s="4" t="s">
        <v>76</v>
      </c>
      <c r="B189" s="4" t="s">
        <v>15</v>
      </c>
      <c r="C189" s="4" t="s">
        <v>31</v>
      </c>
      <c r="D189" s="4">
        <v>36</v>
      </c>
      <c r="E189" s="5">
        <v>44019</v>
      </c>
      <c r="F189" s="6">
        <v>118840</v>
      </c>
      <c r="G189" s="4" t="s">
        <v>21</v>
      </c>
      <c r="H189" s="4" t="s">
        <v>18</v>
      </c>
      <c r="I189" s="10">
        <f t="shared" ca="1" si="8"/>
        <v>5.2849315068493148</v>
      </c>
      <c r="J189" s="11">
        <f t="shared" ca="1" si="9"/>
        <v>3566</v>
      </c>
      <c r="K189" s="8">
        <f t="shared" si="10"/>
        <v>3</v>
      </c>
      <c r="L189" s="9">
        <f t="shared" si="11"/>
        <v>2020</v>
      </c>
    </row>
    <row r="190" spans="1:12" ht="14.4">
      <c r="A190" s="4" t="s">
        <v>155</v>
      </c>
      <c r="B190" s="4" t="s">
        <v>23</v>
      </c>
      <c r="C190" s="4" t="s">
        <v>34</v>
      </c>
      <c r="D190" s="4">
        <v>27</v>
      </c>
      <c r="E190" s="5">
        <v>44061</v>
      </c>
      <c r="F190" s="6">
        <v>119110</v>
      </c>
      <c r="G190" s="4" t="s">
        <v>21</v>
      </c>
      <c r="H190" s="4" t="s">
        <v>119</v>
      </c>
      <c r="I190" s="10">
        <f t="shared" ca="1" si="8"/>
        <v>5.1698630136986301</v>
      </c>
      <c r="J190" s="11">
        <f t="shared" ca="1" si="9"/>
        <v>3574</v>
      </c>
      <c r="K190" s="8">
        <f t="shared" si="10"/>
        <v>3</v>
      </c>
      <c r="L190" s="9">
        <f t="shared" si="11"/>
        <v>2020</v>
      </c>
    </row>
    <row r="191" spans="1:12" ht="14.4">
      <c r="A191" s="4" t="s">
        <v>33</v>
      </c>
      <c r="B191" s="4" t="s">
        <v>23</v>
      </c>
      <c r="C191" s="4" t="s">
        <v>34</v>
      </c>
      <c r="D191" s="4">
        <v>27</v>
      </c>
      <c r="E191" s="5">
        <v>44122</v>
      </c>
      <c r="F191" s="6">
        <v>119110</v>
      </c>
      <c r="G191" s="4" t="s">
        <v>21</v>
      </c>
      <c r="H191" s="4" t="s">
        <v>18</v>
      </c>
      <c r="I191" s="10">
        <f t="shared" ca="1" si="8"/>
        <v>5.0027397260273974</v>
      </c>
      <c r="J191" s="11">
        <f t="shared" ca="1" si="9"/>
        <v>3574</v>
      </c>
      <c r="K191" s="8">
        <f t="shared" si="10"/>
        <v>3</v>
      </c>
      <c r="L191" s="9">
        <f t="shared" si="11"/>
        <v>2020</v>
      </c>
    </row>
    <row r="192" spans="1:1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</sheetData>
  <conditionalFormatting sqref="U4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{CC7D5D9E-6C5F-4B85-9033-881A102E3755}</x14:id>
        </ext>
      </extLst>
    </cfRule>
  </conditionalFormatting>
  <conditionalFormatting sqref="A101:A191">
    <cfRule type="duplicateValues" dxfId="1" priority="5"/>
  </conditionalFormatting>
  <conditionalFormatting sqref="F8:F19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:P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{4D8662F9-F5CD-4906-A0A0-19C49264E872}</x14:id>
        </ext>
      </extLst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{B2E38047-7EE8-43B3-8AE0-765D897D6180}</x14:id>
        </ext>
      </extLst>
    </cfRule>
  </conditionalFormatting>
  <pageMargins left="0.75" right="0.75" top="1" bottom="1" header="0.5" footer="0.5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7D5D9E-6C5F-4B85-9033-881A102E3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U43</xm:sqref>
        </x14:conditionalFormatting>
        <x14:conditionalFormatting xmlns:xm="http://schemas.microsoft.com/office/excel/2006/main">
          <x14:cfRule type="dataBar" id="{4D8662F9-F5CD-4906-A0A0-19C49264E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E38047-7EE8-43B3-8AE0-765D897D6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P37:P41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Business Questions</vt:lpstr>
      <vt:lpstr>NZ Data</vt:lpstr>
      <vt:lpstr>Sheet1</vt:lpstr>
      <vt:lpstr>India Staff</vt:lpstr>
      <vt:lpstr>Total staff</vt:lpstr>
      <vt:lpstr>Analysis</vt:lpstr>
      <vt:lpstr>Male vs Female Comparision</vt:lpstr>
      <vt:lpstr>data 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VICKY</cp:lastModifiedBy>
  <dcterms:created xsi:type="dcterms:W3CDTF">2021-03-14T20:21:00Z</dcterms:created>
  <dcterms:modified xsi:type="dcterms:W3CDTF">2025-10-18T04:02:08Z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0115FD6884804DE4A97BC9641083B9D1_12</vt:lpwstr>
  </property>
  <property fmtid="{D5CDD505-2E9C-101B-9397-08002B2CF9AE}" pid="3" name="KSOProductBuildVer">
    <vt:lpwstr>2057-12.2.0.20795</vt:lpwstr>
  </property>
</Properties>
</file>